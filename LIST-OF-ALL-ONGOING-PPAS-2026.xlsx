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20" yWindow="-120" windowWidth="20730" windowHeight="11160"/>
  </bookViews>
  <sheets>
    <sheet name="Sheet1" sheetId="1" r:id="rId1"/>
  </sheets>
  <definedNames>
    <definedName name="_xlnm.Print_Area" localSheetId="0">Sheet1!$A$1:$N$781</definedName>
    <definedName name="_xlnm.Print_Titles" localSheetId="0">Sheet1!$1:$8</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677" i="1" l="1"/>
  <c r="I663" i="1"/>
  <c r="I662" i="1"/>
  <c r="I475" i="1"/>
  <c r="I394" i="1" l="1"/>
  <c r="I393" i="1"/>
  <c r="I391" i="1"/>
  <c r="I390" i="1" l="1"/>
  <c r="I355" i="1"/>
  <c r="I353" i="1"/>
  <c r="I333" i="1"/>
  <c r="I320" i="1"/>
  <c r="N316" i="1"/>
  <c r="M316" i="1"/>
  <c r="L316" i="1"/>
  <c r="K316" i="1"/>
  <c r="J316" i="1"/>
  <c r="I316" i="1"/>
  <c r="I308" i="1"/>
  <c r="I304" i="1"/>
  <c r="I248" i="1"/>
  <c r="M216" i="1"/>
  <c r="L216" i="1"/>
  <c r="K216" i="1"/>
  <c r="J216" i="1"/>
  <c r="I216" i="1"/>
  <c r="I335" i="1" l="1"/>
  <c r="I167" i="1" l="1"/>
  <c r="I64" i="1"/>
  <c r="I62" i="1"/>
  <c r="I57" i="1"/>
  <c r="I54" i="1"/>
  <c r="I51" i="1"/>
  <c r="I48" i="1"/>
  <c r="I67" i="1"/>
  <c r="I61" i="1"/>
  <c r="I59" i="1" s="1"/>
  <c r="I43" i="1"/>
  <c r="I42" i="1" s="1"/>
  <c r="I34" i="1" l="1"/>
  <c r="I30" i="1"/>
  <c r="I24" i="1"/>
  <c r="I21" i="1"/>
  <c r="I17" i="1" l="1"/>
  <c r="I13" i="1" s="1"/>
  <c r="I10" i="1" l="1"/>
  <c r="I70" i="1" s="1"/>
</calcChain>
</file>

<file path=xl/sharedStrings.xml><?xml version="1.0" encoding="utf-8"?>
<sst xmlns="http://schemas.openxmlformats.org/spreadsheetml/2006/main" count="4434" uniqueCount="1752">
  <si>
    <t>Republic of the Philippines</t>
  </si>
  <si>
    <t>Province of Iloilo</t>
  </si>
  <si>
    <t>PROVINCIAL SOCIAL WELFARE AND DEVELOPMENT OFFICE</t>
  </si>
  <si>
    <t xml:space="preserve">LIST OF ALL ON-GOING AND TO BE IMPLEMENTED GOVERNMENT PROGRAMS/PROJECTS/ACTIVITIES (GPPAs) </t>
  </si>
  <si>
    <t>Program/Project/
Activity Name</t>
  </si>
  <si>
    <t>Implementing Agency</t>
  </si>
  <si>
    <t>Brief Description</t>
  </si>
  <si>
    <t>Expected Output</t>
  </si>
  <si>
    <t>Location</t>
  </si>
  <si>
    <t>Contractor/ 
Supplier</t>
  </si>
  <si>
    <t>Mode of Procurement</t>
  </si>
  <si>
    <t>Funding Source</t>
  </si>
  <si>
    <t>Allotted Budget</t>
  </si>
  <si>
    <t>Project Duration</t>
  </si>
  <si>
    <t>Accomplishment</t>
  </si>
  <si>
    <t>Remarks</t>
  </si>
  <si>
    <t>Starting Date</t>
  </si>
  <si>
    <t>Completion Date</t>
  </si>
  <si>
    <t>Physical</t>
  </si>
  <si>
    <t>Financial</t>
  </si>
  <si>
    <t>Assistance to Individuals in Crisis Situation (AICS)</t>
  </si>
  <si>
    <t>PSWDO</t>
  </si>
  <si>
    <t>Provision of immediate assistance to male and female walk-in clients in the form of cash and guarantee letter (non-food assistance)</t>
  </si>
  <si>
    <t>Iloilo City/
Province</t>
  </si>
  <si>
    <t>N/A</t>
  </si>
  <si>
    <t>PSWDO (MOOE)</t>
  </si>
  <si>
    <t>Jan</t>
  </si>
  <si>
    <t xml:space="preserve">Dec </t>
  </si>
  <si>
    <t>Support to qualified, and eligible totally bedridden persons provided with financial assistance</t>
  </si>
  <si>
    <t>625 bedridden persons provided with assistance</t>
  </si>
  <si>
    <t>ASSISTANCE TO DISADVANTAGED INDIVIDUALS AND FAMILIES</t>
  </si>
  <si>
    <t>Assistance to Individuals in Crisis Situation (AICS) for totally bedridden person</t>
  </si>
  <si>
    <t>Recognize roles and efforts of senior citizens who have reached 85, 95 and 100 years old</t>
  </si>
  <si>
    <t>Provision of various allowances to PWD scholars</t>
  </si>
  <si>
    <t>Alternative Mode
(Negotiated)</t>
  </si>
  <si>
    <t>Oct</t>
  </si>
  <si>
    <t>Cash prizes to 3 LGU winners for  Search for Most Senior Citizen Friendly City/Municipality</t>
  </si>
  <si>
    <t>a regular meeting of ERPAT Officers and Focal Persons for reporting, updating, and sharing of technical expertise on laws, programs, and services for men</t>
  </si>
  <si>
    <t>Apr</t>
  </si>
  <si>
    <t>a regular meeting of PCPC and PCAT-VAWC members for reporting, updating, and sharing of technical expertise on laws, programs, and services for women and children</t>
  </si>
  <si>
    <t xml:space="preserve">a venue for LSWDO to gain new insights in the field of work handling social welfare and maintain healthy relationship. </t>
  </si>
  <si>
    <t>a regular meeting for child representatives from various municipalities to present issues and challenges pertaining to welfare of children</t>
  </si>
  <si>
    <t>PROGRAM FOR THE WELFARE OF CHILDREN</t>
  </si>
  <si>
    <t>PAG-ASA YOUTH ASSOCIATION OF THE PHILIPPINES (PYAP)</t>
  </si>
  <si>
    <t>series of meetings of TWG for the validation and assessments of entries of LGUs</t>
  </si>
  <si>
    <t>a subsidy grant for the CICL from province of Iloilo</t>
  </si>
  <si>
    <t>a regular meeting of LGBTQ federation for  sharing of issues/challenges, strategies and interventions to improve services for the welfare of the members</t>
  </si>
  <si>
    <t>an activity for senior citizens to understand and appreciate their importance, roles, and contributions to the communities and the society as a whole</t>
  </si>
  <si>
    <t>a series of activities for LGBTQ members to understand and appreciate their importance, roles, and contributions to the communities and the society as a whole</t>
  </si>
  <si>
    <t>a regular meeting of KALIPI Officers and Focal Persons for reporting, updating, and sharing of technical expertise on laws, programs, and services for women</t>
  </si>
  <si>
    <t>AFTERCARE PROGRAM FOR PWUD</t>
  </si>
  <si>
    <t>Subsidy to NGA for RPWUDS</t>
  </si>
  <si>
    <t>support for PWUD from province of Iloilo availing aftercare services</t>
  </si>
  <si>
    <t>PROGRAM FOR THE RESILIENCE OF ILOILO IN MIND AND EMOTION (PRIME)</t>
  </si>
  <si>
    <t>15 male CICL, vulnerable individuals provided with improved access to appropriate facilities and service</t>
  </si>
  <si>
    <t>a venue to report/ present updates in implementaion of SWITCH in the pilot LGUs</t>
  </si>
  <si>
    <t>a venue for PCPC and PCAT-VAWC capacitated with technical inputs</t>
  </si>
  <si>
    <t>CY 2026</t>
  </si>
  <si>
    <t>18,000 needy individuals provided with assistance</t>
  </si>
  <si>
    <t>Awareness Raising on Laws and Other Issuances on Children and Capacity Development for Male and Female Child Development Workers, Focal Persons, Parents, and Other Community Volunteers</t>
  </si>
  <si>
    <t>Implementation of Provincial Ordinance No. 2023-302 
(An Ordinance Converting the IPDCWC to Iloilo Province Balay Pagbag-o for Male Children In-Conflict with the Law) including Repair and Maintenance</t>
  </si>
  <si>
    <t>a venue to increase understanding of key national laws, policies, and guidelines that protect and promote children’s rights and welfare</t>
  </si>
  <si>
    <t>a venue to strengthen rehabilitation, protection, and reintegration interventions for CICL through improved infrastructure and institutional support.</t>
  </si>
  <si>
    <t>200 Child Development Workers, Focal Persons, Parents, and Other Community Volunteers provided with technical assistance</t>
  </si>
  <si>
    <t>Provision of Counterpart for CICL Services in DSWD Regional Rehabilitation Center for the Youth (RRCY) in Guimaras</t>
  </si>
  <si>
    <t>Implementation of Executive Order No. 361, series of 2022 for Reconstitution and Stregthening of PCPC</t>
  </si>
  <si>
    <t>Learning Sessions and Capacity Development for LCPCs and Other Intermediaries for Children</t>
  </si>
  <si>
    <t>Implementation of Provincial Ordinance No. 2018-178 (Provincial Search for the Most Child-Friendly Municipality/City)</t>
  </si>
  <si>
    <t>Child Respesentatives Meeting and Assembly</t>
  </si>
  <si>
    <t>43 male and female child representatives</t>
  </si>
  <si>
    <t>3 Most Child-Friendly LGU recognized</t>
  </si>
  <si>
    <t>30 of PCPC Members</t>
  </si>
  <si>
    <t xml:space="preserve">30 PCPC and PCPC TWG </t>
  </si>
  <si>
    <t>100% of male CICL from Iloilo Province who are residents of DSWD RRCY</t>
  </si>
  <si>
    <t>a recognition program that honors local government units with exemplary initiatives and systems that uphold children’s rights and well-being</t>
  </si>
  <si>
    <t>TRANSCENDING INDIVIDUALISM for BINDING ACTIONS of the YOUTH (TIBAY) PROGRAM</t>
  </si>
  <si>
    <t>Learning Sessions, Capacity and Sports Development for PYAP Members and Service Providers</t>
  </si>
  <si>
    <t>86 male and female PYAP officers, members, and service providers</t>
  </si>
  <si>
    <t>Information, Education, Communication, and Other Advocacy and Awareness Raising Activities for the Youth</t>
  </si>
  <si>
    <t>150 male and female youth</t>
  </si>
  <si>
    <t>Implementation of Provincial Ordinance No. 2023-308 
(Enacting KALIPI in the Province of Iloilo and Appropriating Funds Therefor)</t>
  </si>
  <si>
    <t>Learning Sessions and Capacity Development for Intermediaries for Women</t>
  </si>
  <si>
    <t>Implementation of Provincial Ordinance No. 2019-200 
(Creation of the Provincial Council for Anti-Trafficking in Persons in the Province of Iloilo)</t>
  </si>
  <si>
    <t>Implementation of Provincial Ordinance No. 2018-167 
(Search for Huwarang Ilongga sang Probinsya)</t>
  </si>
  <si>
    <t>Women's Month Celebration and Other IEC, Advocacy, and Awareness-Raising Activities</t>
  </si>
  <si>
    <t>JUANANG ILONGGA PROGRAM</t>
  </si>
  <si>
    <t>100% of members of TWG for Women</t>
  </si>
  <si>
    <t>100% of PCAT-VAWC members</t>
  </si>
  <si>
    <t>3 Huwarang Ilongga winners recognized</t>
  </si>
  <si>
    <t>300 women provided with assistance</t>
  </si>
  <si>
    <t>an activity to enhance the competencies of intermediaries in promoting, protecting, and advancing women’s rights and welfare</t>
  </si>
  <si>
    <t>the operationalization of the Provincial Council for Anti-Trafficking in Persons in Iloilo that aims to enhance inter-agency coordination, policy enforcement, and protective mechanisms against trafficking in persons.</t>
  </si>
  <si>
    <t>A provincial recognition initiative that highlights and honors Ilongga women who serve as role models through their leadership, advocacy, and meaningful contributions to their communities.</t>
  </si>
  <si>
    <t>A series of celebratory and advocacy activities designed to raise awareness on women’s rights and gender issues, encourage community participation, and support gender-responsive governance and development.</t>
  </si>
  <si>
    <t>100 women provided with assistance</t>
  </si>
  <si>
    <t>Implementation of Provincial Ordinance No. 2022-630 
(ERPAT Ordinance of the Province of Iloilo)</t>
  </si>
  <si>
    <t>Learning Sessions and Capacity Development for Intermediaries for ERPAT/Men</t>
  </si>
  <si>
    <t>Various celebrations and Other IEC, Advocacy, and Awareness-Raising Activities for ERPAT/Men</t>
  </si>
  <si>
    <t>PROGRAM FOR THE WELFARE AND DEVELOPMENT OF MEN</t>
  </si>
  <si>
    <t>250 fathers, male guardians,  members and officers of ERPAT</t>
  </si>
  <si>
    <t xml:space="preserve">43 ERPAT service providers </t>
  </si>
  <si>
    <t>250 ERPAT officers and members</t>
  </si>
  <si>
    <t>learning sessions that aimed at building the capacity of intermediaries to effectively implement ERPAT and men-focused programs through gender-sensitive and family-centered approaches.</t>
  </si>
  <si>
    <t>celebratory and advocacy activities designed to raise awareness, promote responsible fatherhood, and encourage men’s involvement in gender-responsive family and community initiatives.</t>
  </si>
  <si>
    <t>Implementation of Provincial Ordinance No. 2013-104 (Educational Assistance/Scholarship Program for Persons with Disabilities in the Province of Iloilo)</t>
  </si>
  <si>
    <t>Learning Sessions and Capacity Development for Persons with Disabilities</t>
  </si>
  <si>
    <t xml:space="preserve">Other Support to the implementation of RA 7277 </t>
  </si>
  <si>
    <t>Implementation of Provincial Ordinance No. 2016-012
(Provincial Search for the Most PWD-Friendly 
Municipality/City)</t>
  </si>
  <si>
    <t>Support to the Implementation of Presidential Proclamation No. 597, series of 2024 (National Disability Rights Week)</t>
  </si>
  <si>
    <t>Other IEC, Advocacy, Awareness-Raising and PWD-initiated activities</t>
  </si>
  <si>
    <t xml:space="preserve">125 Qualified and eligible male and female PWD students </t>
  </si>
  <si>
    <t xml:space="preserve">43 male and female PWD members and officers of PWD Federation </t>
  </si>
  <si>
    <t xml:space="preserve">500 male and female PWDs </t>
  </si>
  <si>
    <t>Top 3 Most PWD-Friendly LGU recognized</t>
  </si>
  <si>
    <t xml:space="preserve">220 male and female PWD oriented on their rights
</t>
  </si>
  <si>
    <t xml:space="preserve">200 male and female PWDs </t>
  </si>
  <si>
    <t>learning sessions that aimed at empowering Persons with Disabilities by enhancing their skills, knowledge, and confidence through inclusive and capacity-building approaches.</t>
  </si>
  <si>
    <t>Activities and initiatives that provide technical, programmatic, and advocacy support to ensure effective implementation of RA 7277, promoting empowerment, inclusion, and protection of Persons with Disabilities.</t>
  </si>
  <si>
    <t>Activities and initiatives designed to raise awareness, advocate for rights, and engage communities in celebrating National Disability Rights Week, ensuring the inclusion and empowerment of Persons with Disabilities.</t>
  </si>
  <si>
    <t>Activities designed to raise awareness, advocate for rights, and empower Persons with Disabilities to initiate programs that foster inclusion, participation, and community engagement.</t>
  </si>
  <si>
    <t>PROGRAM FOR THE WELFARE AND DEVELOPMENT OF SENIOR CITIZENS</t>
  </si>
  <si>
    <t>Atipanon kag Respetuhon ang mga Tigulang (ART) Day for Older Adults</t>
  </si>
  <si>
    <t xml:space="preserve">Learning Sessions and Capacity Development for Senior Citizens </t>
  </si>
  <si>
    <t>Implementation of Provincial Ordinance No. 2016-135 as amended by Provincial Ordinance No. 2017-153 and Provincial Ordinance No. 2020-216 (Monetary Award and Recognition to Octogenarians, Nonagenarians and Centenarians in the Province of Iloilo)</t>
  </si>
  <si>
    <t>Implementation of Provincial Ordinance No. 2013-105
(Provincial Search for the Most Senior Citizen-Friendly 
Municipality/City)</t>
  </si>
  <si>
    <t xml:space="preserve">150 male and female senior citizens </t>
  </si>
  <si>
    <t>86 male and female senior citizens</t>
  </si>
  <si>
    <t xml:space="preserve">100% of Qualified, eligible, and compliant male and female senior citizens aged 85, 95, and 100 </t>
  </si>
  <si>
    <t>Top 3 Most Senior Citizen-Friendly LGU recognized</t>
  </si>
  <si>
    <t>Technical Sessions for TWG for the Search for Most Seniror Citizen Friendly City/Municipality</t>
  </si>
  <si>
    <t>Cash prizes to 3 LGU winners for  Search for Most PWD Friendly City/Municipality</t>
  </si>
  <si>
    <t>a learning sessions designed to strengthen the capacities of senior citizens through skill-building, awareness, and empowerment initiatives that enhance their quality of life and community participation.</t>
  </si>
  <si>
    <t>PROGRAM FOR THE WELFARE AND DEVELOPMENT OF SOLO PARENTS AND FAMILIES OF OFWs</t>
  </si>
  <si>
    <t>Learning Sessions and Capacity Development for Solo Parents</t>
  </si>
  <si>
    <t>Implementation of Provincial Ordinance No. 2018-166 (Institutionalizing Solo Parents Day Every April)</t>
  </si>
  <si>
    <t>43 male and female solo parents families organized and capacitated</t>
  </si>
  <si>
    <t xml:space="preserve">180 male and female solo parents </t>
  </si>
  <si>
    <t>a provincial initiative to celebrate Solo Parents Day every April through programs and activities that promote awareness, recognize solo parents’ contributions, and provide support to enhance their welfare.</t>
  </si>
  <si>
    <t>a learning sessions designed to strengthen solo parents’ capacities through skill-building, awareness, and empowerment initiatives that enhance family welfare and active participation in community life.</t>
  </si>
  <si>
    <t>CONVERGENCE: PROGRAM FOR THE WELFARE AND DEVELOPMENT OF THE INDIGENT, MARGINALIZED, AND VULNERABLE INDIVIDUALS AND FAMILIES</t>
  </si>
  <si>
    <t>Enforcement of Executive Order No. 419, series of 2023 (Reconstitution of the Iloilo Provincial Convergence Committee)</t>
  </si>
  <si>
    <t>Provision of Assistance/Support to beneficiaries of Panatawid Pamilyang Pilipino Program, Sustainable Livelihood Program, and KALAHI-CIDSS Program (Cash for Work, Cash for Training, Food for Work, Food for Training, etc.)</t>
  </si>
  <si>
    <t>a venue for federation Officers Parent Leaders and SLPA Representatives will be provided with technical assistance</t>
  </si>
  <si>
    <t>strengthening multi-sectoral coordination, monitoring, and implementation of provincial development and social protection initiatives.</t>
  </si>
  <si>
    <t>100% of Male and Female IPCC members capacitated</t>
  </si>
  <si>
    <t>43 4Ps beneficiaries</t>
  </si>
  <si>
    <t>SOCIAL PROTECTION</t>
  </si>
  <si>
    <t>Creation and Capacity Development of the Provincial Social Protection Committee</t>
  </si>
  <si>
    <t>Formulation of Provincial Social Protection Plan</t>
  </si>
  <si>
    <t>Support to the Enforcement of DSWD Administrative Order No. 02, series of 2023 (Guidelines for the Preparation of the Social Protection and Development Report)</t>
  </si>
  <si>
    <t>1 Social Protection Plan</t>
  </si>
  <si>
    <t>100% of Male and Female SP Committee members capacitated</t>
  </si>
  <si>
    <t>Program for the Resilience of Iloilo in Mind and Emotion (PRIME)</t>
  </si>
  <si>
    <t xml:space="preserve">43 City/Municipal  and 1 Provincial PRIME TF PagAsa </t>
  </si>
  <si>
    <t>building mental and emotional resilience among Iloilo residents through capacity development, awareness campaigns, and psychosocial support activities.</t>
  </si>
  <si>
    <t>PROGRAM FOR THE WELFARE AND DEVELOPMENT OF THE INDGENOUS PEOPLE/INDIGENOUS CULTURAL COMMUNITIES</t>
  </si>
  <si>
    <t>Provision of Allowances to IP Scholars</t>
  </si>
  <si>
    <t>Learning Sessions and M&amp;E Activities for IP Scholars</t>
  </si>
  <si>
    <t>Implementation of Provincial Ordinance No.  2016-128 as amended by Provincial Ordinance No. 2018-172 (Provincial Educational Assistance Program for ICC/IPs in the Province of Iloilo)</t>
  </si>
  <si>
    <t>202 eligible, qualified, and compliant IPs/ICCs provided with educational assistance</t>
  </si>
  <si>
    <t>100 Male and female IP scholars monitored</t>
  </si>
  <si>
    <t>% Persons Who Used Drugsavailaing of aftercare services at DOH-TRC</t>
  </si>
  <si>
    <t>PROVISION OF TECHNICAL ASSISTANCE AND OTHER SUPPORT TO LSWDOs AND OTHER SOCIAL WELFARE INTERMEDIARIES</t>
  </si>
  <si>
    <t>Learning Sessions and Capacity Development for LSWDOs and Other Social Welfare Intermediaries</t>
  </si>
  <si>
    <t>Social Welfare Information Technology and Communication Hub (SWITCH) Iloilo Project</t>
  </si>
  <si>
    <t>85 male and female 
P/M/CSWDOs</t>
  </si>
  <si>
    <t>1 system established</t>
  </si>
  <si>
    <t>PROGRAM FOR THE WELFARE AND DEVELOPMENT OF LGBTQ</t>
  </si>
  <si>
    <t>Implementation of Provincial Ordinance No. 2019-205 (An Ordinance Declaring the Second Week of the month June of 
every year to be known as "Iloilo Province (Lesbian, Gay, Bisexual and Transgender) Pride Week</t>
  </si>
  <si>
    <t>Regular LGBTQ Sessions</t>
  </si>
  <si>
    <t>150 members of the LGBTQIA++</t>
  </si>
  <si>
    <t>43 LGBTQ members provided with technical assistance</t>
  </si>
  <si>
    <t>PROGRAM FOR THE WELFARE AND DEVELOPMENT OF PWD</t>
  </si>
  <si>
    <t>Processing of Financial Claims and Financial Assistance</t>
  </si>
  <si>
    <t>Provincial Accountant's Office</t>
  </si>
  <si>
    <t>Financial Claims, simple or complex and Financial Assistance certified as to completeness of supporitng documents and correctness of Journal Entry</t>
  </si>
  <si>
    <t>Financial Claims and Financial Assistance processed and certified, for approval of the Governor</t>
  </si>
  <si>
    <t>On going</t>
  </si>
  <si>
    <t>Submission of Financial Reports</t>
  </si>
  <si>
    <t>Financial Reports submitted to COA, Governor, SP and Provincial Tresusrer's Office as per set deadline</t>
  </si>
  <si>
    <t>Financial Reports Submitted</t>
  </si>
  <si>
    <t>Memo/Circulars/ Orders disseminated to all Offices, for Implementation</t>
  </si>
  <si>
    <t>Memo/Circulars/Orders coming from DBM, COA, DILG, GSIS and other NGAs or offices disseminated, for implementation</t>
  </si>
  <si>
    <t>Disseminated Memo., Circulars and Orders for implementation</t>
  </si>
  <si>
    <t>Plans/budgets, collections, disbursements, claims processing, procurement documents and Reports approved and submitted</t>
  </si>
  <si>
    <t>All required Plans/budgets, collections, disbursements, claims processing, procurement documents and Reports approved and submitted as per set deadline</t>
  </si>
  <si>
    <t>Approved and submitted required plans, budget, collections, disbursements, claims processing, procurement documents &amp; reports per set deadline</t>
  </si>
  <si>
    <t xml:space="preserve">Administrative and Logistics Support </t>
  </si>
  <si>
    <t>Accounting personnel benefits approved and forwarded to concerned office within the required period, upon receipt of complete supporting documents</t>
  </si>
  <si>
    <t>100% Accounting personnel benefits approved and paid, within the required period</t>
  </si>
  <si>
    <t>Accounts Reconciliation and Verification</t>
  </si>
  <si>
    <t>Reconciliation Reports (e.g. Bank Statements; PPEs; GSIS/HDMF/PHIC Remittances; Coop. and Baks) prepared and submitted per set deadline</t>
  </si>
  <si>
    <t>All required Reconciliation Statements / Reports prepared, approved and submitted on set deadline</t>
  </si>
  <si>
    <t>OFFICE OF THE PROVINCIAL ACOUNTANT</t>
  </si>
  <si>
    <t>OFFICE OF THE PROVINCIAL EMPLOYMENT SERVICE MANAGER (OPPESM)</t>
  </si>
  <si>
    <t>II. OFFICE OPERATIONAL EXPENSES  (CURRENT OPERATING EXPENDITURE OF MOOE) - include but not limited to salaries, supplies,equipment, fixtures, couriers, publications, registrations, travels, etc.</t>
  </si>
  <si>
    <t>OPPESM</t>
  </si>
  <si>
    <t>Salaries/Wages and other benefits of JOSS/ Contract of Services and job hires paid; training/convention registration, other operational expenses paid office supplies, equipment, furnitures and fixtures procured</t>
  </si>
  <si>
    <t xml:space="preserve">Number of JOSS personnel hired                                                                                                 </t>
  </si>
  <si>
    <t>Gen Fund</t>
  </si>
  <si>
    <t>Dec</t>
  </si>
  <si>
    <t>ON GOING</t>
  </si>
  <si>
    <t>Number  of Job hire personnel hired</t>
  </si>
  <si>
    <t>Number  of purchase/repaired Furnitures, equipment,ICT equipment, and of other macheniries</t>
  </si>
  <si>
    <t>Number of purchase of Moter vehicle</t>
  </si>
  <si>
    <t xml:space="preserve">III. CAPACITY DEVELOPMENT TRAININGS  TO BE ATTENDED/ CONDUCTED </t>
  </si>
  <si>
    <t>Field consultations, meetings and auxilliary trainings, workshops, seminars related to PESO programs conducte and attended updated knowledge attidute skills and experiences</t>
  </si>
  <si>
    <t>Number of requests for participation to meetings, conventions/summits, trainings, seminars, and other fora attended(Blended)</t>
  </si>
  <si>
    <t>Number of  meetings, conventions/summits, trainings, seminars, Consulations and other fora facilitated/conducted (Blended)</t>
  </si>
  <si>
    <t>Number of engagements with stakeholders for capacity /skills development, advocacies &amp; management of PESO programs and Services (Blended)</t>
  </si>
  <si>
    <t>IV. REGISTRATION, REFERRAL AND PLACEMENT</t>
  </si>
  <si>
    <t xml:space="preserve">Registered (eMSRS), Referred and placed/deployed jobseekers, jobseekers referred to skills enhancement training, jobseekers referred to other special employment programs </t>
  </si>
  <si>
    <t>Number of jobseekers profiled (online/walk in)</t>
  </si>
  <si>
    <t>JAN</t>
  </si>
  <si>
    <t>DEC</t>
  </si>
  <si>
    <t>on going</t>
  </si>
  <si>
    <t>Number of pre-screened/pre-qualified jobseekers referred (online/walk in)</t>
  </si>
  <si>
    <t>Number of referrals/assistance made  (online/walk in)</t>
  </si>
  <si>
    <t>Number of jobseeker applications monitored for status of placement (online/walk in)</t>
  </si>
  <si>
    <t>Number  of placed applicants through referral (online/walk in)</t>
  </si>
  <si>
    <t>V. LABOR MARKET INFORMATION</t>
  </si>
  <si>
    <t>Information, Education, and Communication activities and materials developed/dissiminated; manpower and skills database updated and accessed by partner employers and interested clients; employment and protection system developed and installed, employment policy-recommendations proposed/endorsed, updated registery of establishments compliant to DOLE standards</t>
  </si>
  <si>
    <t>Number of Jobs Vacancies and Job Orders Posted</t>
  </si>
  <si>
    <t>Number of Monthly LMI Reports Generated</t>
  </si>
  <si>
    <t>Number of Quarterly LMI Reports Generated</t>
  </si>
  <si>
    <t>Number  of Annual LMI Report Generated</t>
  </si>
  <si>
    <t>Number of Individuals Reached  through LMI Materials (eg. Job Posts, LMI Reports, AVPs, etc)</t>
  </si>
  <si>
    <t>Number of PESO Information, Education, and Communication (IEC) Materials copies produced (e.g Newsletters, AVPs, Posters, Brochures, etc)</t>
  </si>
  <si>
    <t>EMPLOYMENT FACILITATION AND PROTECTION SYSTEM (EFPS)</t>
  </si>
  <si>
    <t>PESO employment facilitation  and protection systems and other support to IT operations, subscriptions and etc.</t>
  </si>
  <si>
    <t>Number of Acquired productivity tools subscription</t>
  </si>
  <si>
    <t>WORKFORCE DEVELOPMENT PLAN (WDP)</t>
  </si>
  <si>
    <t>Consultations/ engagements/meetings, identification of consultants, resource Persons for the crafting of WFP Framework</t>
  </si>
  <si>
    <t>Number of consultation conducted</t>
  </si>
  <si>
    <t>TO BE IMPLEMENTED</t>
  </si>
  <si>
    <t>VI. CAREER COACHING AND EMPLOYMENT ORIENTATION</t>
  </si>
  <si>
    <t>Career Coaching and Employability Enhancement seminars conducted</t>
  </si>
  <si>
    <t>Number of students/individuals availed the oientation</t>
  </si>
  <si>
    <t>Number of LGUs provided with CDSP</t>
  </si>
  <si>
    <t>Number of secondary/tertiary schools provided with CDSP</t>
  </si>
  <si>
    <t>VII. EMPLOYMENT FACILITATION AND PROTECTION PROGRAMS</t>
  </si>
  <si>
    <t>JOB FAIRs</t>
  </si>
  <si>
    <t>Employer-Jobseeker recruitment facilitated, HOTS, Skills Training Registration, Governmnent Agency Help Desk for jobseekers, Employment Information Services to Jobseekers, Employability Enhancement Orientation conducted</t>
  </si>
  <si>
    <t xml:space="preserve">Number of Job fairs conducted
</t>
  </si>
  <si>
    <t>Gen. Fund</t>
  </si>
  <si>
    <t>JULY</t>
  </si>
  <si>
    <t>OCTOBER</t>
  </si>
  <si>
    <t xml:space="preserve">Number of Job fairs assisted in partnership with HEIs/NGAs/LGUs
</t>
  </si>
  <si>
    <t>Number of confirmed employers actually participated</t>
  </si>
  <si>
    <t>Number of jobseekers participated</t>
  </si>
  <si>
    <t>Number jobseekers placed</t>
  </si>
  <si>
    <t xml:space="preserve">Number  of Job Vacancies/Job Orders solicited </t>
  </si>
  <si>
    <t>SPECIAL RECRUITMENT ACTIVITIES (SRA)/LOCAL RECRUTIMENT ACTIVITIES (LRA)</t>
  </si>
  <si>
    <t>Employer-Jobseeker recruitment facilitated, EmploymentHOTS,  Employment Information Services to Jobseekers</t>
  </si>
  <si>
    <t xml:space="preserve">Number of SRA conducted (blended)
</t>
  </si>
  <si>
    <t>Number of applicants participated in the SRA (blended)</t>
  </si>
  <si>
    <t>Number  of LRA conducted (blended)</t>
  </si>
  <si>
    <t>Number of applicants participated in the LRA (blended)</t>
  </si>
  <si>
    <t>Number  of  applicants placed (SRA/LRA)</t>
  </si>
  <si>
    <t>SPECIAL PROGRAM FOR EMPLOYMENT OF STUDENTS (SPES)</t>
  </si>
  <si>
    <t>Students/OSY avialed the program during summer and christmas breaks</t>
  </si>
  <si>
    <t xml:space="preserve">Number of LGUs/ IPG offices implemented </t>
  </si>
  <si>
    <t>MAY</t>
  </si>
  <si>
    <t>Number of qualified beneficiaries availed the SPES 60%/40% scheme</t>
  </si>
  <si>
    <t>Number  of qualified beneficiaries availed the SPES 100% scheme</t>
  </si>
  <si>
    <t>PROVINCIAL INTERNSHIP PROGRAM  (PIP)</t>
  </si>
  <si>
    <t>Beneficiaries placed for internship to Iloilo Provincial Government/Municipal Offices and District Hospitals</t>
  </si>
  <si>
    <t>Number of LGUs implemented</t>
  </si>
  <si>
    <t>FEB</t>
  </si>
  <si>
    <t>Number of Beneficiaries availe dthe program</t>
  </si>
  <si>
    <t>CASH-FOR WORK PROGRAM (CFW)</t>
  </si>
  <si>
    <t>Provided cash-for-work among informal workers</t>
  </si>
  <si>
    <t>Number  of LGUs implemented</t>
  </si>
  <si>
    <t>Number of  Beneficiaries availed the program</t>
  </si>
  <si>
    <t>SHORT TERM EMPLOYMENT PROGRAM (STEP)</t>
  </si>
  <si>
    <t xml:space="preserve">Provided short term employment opportunities for affected workers </t>
  </si>
  <si>
    <t>Number of beneficiaries availed the Program</t>
  </si>
  <si>
    <t>JOBSTART PHILIPPINES PROGRAM - ILOILO PROVINCE</t>
  </si>
  <si>
    <t>Life Skills Training, Technical Training, Internship, and Skills Matching Services provided to qualified youth-at-risk beneficiaries</t>
  </si>
  <si>
    <t>Number of Youth Beneficiaires with Participation Agreement under JobStart Philippines Program</t>
  </si>
  <si>
    <t>Number of Partner Employers with Memorandum of Agreement under JobStart Philippines Program</t>
  </si>
  <si>
    <t>Number of Youth Beneficiaires Completed Life Skills Training</t>
  </si>
  <si>
    <t>Number of Youth Beneficiaries Placed / Found Employment</t>
  </si>
  <si>
    <t>LIFE/SOFT SKILLS TRAINING</t>
  </si>
  <si>
    <t>To provide soft skills training to PESO programs beneficiaries in preparation for their employment journey</t>
  </si>
  <si>
    <t>Number  of LST conducted</t>
  </si>
  <si>
    <t>VIII. OVERSEAS FILIPINOS MOGRATION AND DEVELOPMENT (OFMD) CENTER</t>
  </si>
  <si>
    <t>MIGRATION AND DEVELOPMENT INITIATIVES (MDI)</t>
  </si>
  <si>
    <t>Provision of capacity development trainings and seminars for OFWs and soon to be OFWs</t>
  </si>
  <si>
    <t>Number  of Committee Meetings conducted</t>
  </si>
  <si>
    <t>Number of OFWs and their families provided with Family and Income Management Training</t>
  </si>
  <si>
    <t>Number of Individuals Provided with PreMigration and Employment Orientation Seminar</t>
  </si>
  <si>
    <t>ORGANIZATION OF OFWs</t>
  </si>
  <si>
    <t>Organized of OFWs in the LGU up to the provincial level</t>
  </si>
  <si>
    <t>Number of organized/assisted registered OFW groups</t>
  </si>
  <si>
    <t>TASK FORCE BULIG ILONGGO</t>
  </si>
  <si>
    <t>Provided assistance to  OFWs</t>
  </si>
  <si>
    <t xml:space="preserve">Number of OFW profiled and provided assistance </t>
  </si>
  <si>
    <t>FINANCIAL ASSISTANCE TO OVERSEAS FILIPINO WORKERS (OFWs)</t>
  </si>
  <si>
    <t xml:space="preserve">Provided repatriated/displaced OFW / OFWs-in-crises (local or abroad) with financial assistance </t>
  </si>
  <si>
    <t>Number of qualified beneficiaries who request for assistance provided services within the prescribed process cycle time</t>
  </si>
  <si>
    <t>ANTI ILLEGAL RECRUTIMENT AND TRAFFICKING IN PERSONS , WOMEN AND CHILDREN ND OTHER EMPLOYMENT PROTECTION SERVICES</t>
  </si>
  <si>
    <t xml:space="preserve">Provide trainings for Anti illegal recrutiment and other employment protection services </t>
  </si>
  <si>
    <t>* No. of individuals availed the services</t>
  </si>
  <si>
    <t>OFW SCHOLARSHIP PROGRAM</t>
  </si>
  <si>
    <t>Provinded Scholarship grants to children of OFWs</t>
  </si>
  <si>
    <t>Number of preliminary meetings conducted</t>
  </si>
  <si>
    <t>Number of children of OFW provided with scholarship program</t>
  </si>
  <si>
    <t>IX. AWARDS REWARDS</t>
  </si>
  <si>
    <t>SEARCH FOR PROVINCIAL/MUNICPAL/BARANGAY BEST PESO/GVERNOR'S AWARDS</t>
  </si>
  <si>
    <t xml:space="preserve"> Municipal and Brgy PESO recognized, incentivized, awarded </t>
  </si>
  <si>
    <t xml:space="preserve">Number of entries submitted  and evaluated
</t>
  </si>
  <si>
    <t>Number of qualified entries considered for official nomination</t>
  </si>
  <si>
    <t>Number of official nominees awarded/recognized</t>
  </si>
  <si>
    <t>Number of SBP Winner among the official nominees awarded/recognized</t>
  </si>
  <si>
    <t>Number of minor Awards Awarded</t>
  </si>
  <si>
    <t>Number of municipal PESOs recognized for minor award</t>
  </si>
  <si>
    <t xml:space="preserve">Number of Official validators </t>
  </si>
  <si>
    <t>TOTAL</t>
  </si>
  <si>
    <t>Iskolar Sang Iloilo Program</t>
  </si>
  <si>
    <t>IPG - HRMDO</t>
  </si>
  <si>
    <t>Scholarship Program for the underprivileged but deserving Senior Highschool graduates of the Province</t>
  </si>
  <si>
    <t>New batch of ISIP Scholars (Batch 31) - 125 scholars</t>
  </si>
  <si>
    <t>MOOE</t>
  </si>
  <si>
    <t>On Going</t>
  </si>
  <si>
    <t>Maintain the active scholars and disbursement of allowances and other related benefits to active scholars</t>
  </si>
  <si>
    <t>473 active scholars</t>
  </si>
  <si>
    <t>17 - tranffered to other scholarship program
10- dropped due to non compliance to grade/gwa requirements</t>
  </si>
  <si>
    <t>Financial Assistance for Board Exam Review of Graduate Scholars of IPG</t>
  </si>
  <si>
    <t>P10,000.00 assistance for qualified graduate scholars</t>
  </si>
  <si>
    <t>Top 10  Incentives Program</t>
  </si>
  <si>
    <t>Top 10 Incentives Program as per Provincial Ordinance No. 2023-295</t>
  </si>
  <si>
    <t>Individuals assessed and granted incentives</t>
  </si>
  <si>
    <t>2 applications processed for the grant of incentives  &amp; 1 application on process</t>
  </si>
  <si>
    <t>2 applications referred to the Office of the SP Secretary for SP Resolution of Commendation</t>
  </si>
  <si>
    <t>OFFICE OF THE HUMAN RESOURCE MANAGEMENT AND DEVELOPMENT OFFICER</t>
  </si>
  <si>
    <t>Cooperative Development Services</t>
  </si>
  <si>
    <t>I. Capability Building</t>
  </si>
  <si>
    <t>PCDO</t>
  </si>
  <si>
    <t xml:space="preserve">Capacity development activities for cooperative stakeholders </t>
  </si>
  <si>
    <t>2 Batches of Accounting for Non-Accountants Seminar-Workshop</t>
  </si>
  <si>
    <t>Iloilo</t>
  </si>
  <si>
    <t>SVP</t>
  </si>
  <si>
    <t xml:space="preserve">April </t>
  </si>
  <si>
    <t xml:space="preserve">September </t>
  </si>
  <si>
    <t xml:space="preserve">1 Mid Year Assessment </t>
  </si>
  <si>
    <t xml:space="preserve">Iloilo </t>
  </si>
  <si>
    <t>July</t>
  </si>
  <si>
    <t xml:space="preserve">CDO Enhancement Training </t>
  </si>
  <si>
    <t xml:space="preserve">May </t>
  </si>
  <si>
    <t>Financial, Credit Collection and Risk Management Training</t>
  </si>
  <si>
    <t>2 Batches of Fundamentals of Cooperatives</t>
  </si>
  <si>
    <t xml:space="preserve">October </t>
  </si>
  <si>
    <t xml:space="preserve">2 Batches of Governance &amp; Management of Cooperatives </t>
  </si>
  <si>
    <t xml:space="preserve">Coop Youth Congress </t>
  </si>
  <si>
    <t>DRRM Training for Cooperatives</t>
  </si>
  <si>
    <t>Gen.Fund</t>
  </si>
  <si>
    <t>June</t>
  </si>
  <si>
    <t>Business Continuity  Training</t>
  </si>
  <si>
    <t>August</t>
  </si>
  <si>
    <t xml:space="preserve">2 Batches of Development Trainings for Transport Cooperatives </t>
  </si>
  <si>
    <t>March</t>
  </si>
  <si>
    <t>November</t>
  </si>
  <si>
    <t>Capability Enhancement Training</t>
  </si>
  <si>
    <t xml:space="preserve">January </t>
  </si>
  <si>
    <t xml:space="preserve">December </t>
  </si>
  <si>
    <t>CDO (LCDOP ILOILO) Enhancement Training Seminar</t>
  </si>
  <si>
    <t>Gender and Development Training</t>
  </si>
  <si>
    <t>II. Organizational Development &amp; Coop Promotion</t>
  </si>
  <si>
    <t>Cooperative strengthening  and cooperative development promotion activities</t>
  </si>
  <si>
    <t>Coop Congress &amp; Trade Fair and Exhibits</t>
  </si>
  <si>
    <t>September</t>
  </si>
  <si>
    <t>4 Quarters IPCDC Meeting</t>
  </si>
  <si>
    <t>Iloilo Transport Coop Congress</t>
  </si>
  <si>
    <t>May</t>
  </si>
  <si>
    <t xml:space="preserve">III. Provincial Livelihood Project Fund (PLPF) Management </t>
  </si>
  <si>
    <t>Fund to finance viable and economically feasible income generating projects of cooperatives/associations</t>
  </si>
  <si>
    <t xml:space="preserve"># of Loans released to qualified PLPF applicants </t>
  </si>
  <si>
    <t>IV. Mangunguma Sapnayon: Palay Price Support Program</t>
  </si>
  <si>
    <t>Fund to finance palay trading</t>
  </si>
  <si>
    <t>sales and purchase orders monitored</t>
  </si>
  <si>
    <t xml:space="preserve">Gen. Fund </t>
  </si>
  <si>
    <t xml:space="preserve"> </t>
  </si>
  <si>
    <t>Transfer of fund to government financial isntitutions as trust/surety funds for cooperative small and micro enterprises</t>
  </si>
  <si>
    <t>100% Utilization of Trust/ Surety Fund</t>
  </si>
  <si>
    <t>VI. Capital Outlay</t>
  </si>
  <si>
    <t>Purchase of Office vehicle</t>
  </si>
  <si>
    <t>Office vehicle</t>
  </si>
  <si>
    <t>Bidding</t>
  </si>
  <si>
    <t>OFFICE OF THE PROVINCIAL COOPERATIVE OFFICER</t>
  </si>
  <si>
    <t>A. CAPACITY DEVELOPMENT SERVICES ON HEALTH</t>
  </si>
  <si>
    <t>1. Updates on Mental Health and Substance Abuse</t>
  </si>
  <si>
    <t>PHO</t>
  </si>
  <si>
    <t xml:space="preserve">catering services </t>
  </si>
  <si>
    <t xml:space="preserve">activity conducted </t>
  </si>
  <si>
    <t>Iloilo City / Iloilo Province</t>
  </si>
  <si>
    <t>PR on process</t>
  </si>
  <si>
    <t>2. Updates for the Provincial Implementation Team</t>
  </si>
  <si>
    <t>3. Training on 4Rs</t>
  </si>
  <si>
    <t>board and lodging</t>
  </si>
  <si>
    <t>4. Strengthening Adolescent Health through RPRH Integrated Services and its Reproductive Health and Rigths</t>
  </si>
  <si>
    <t>5. Updates on Provincial Local AIDS Council</t>
  </si>
  <si>
    <t>6. Orientationn / HIV 101 to HIV Kep Population</t>
  </si>
  <si>
    <t xml:space="preserve">7. Training on Brief Tobacco Intervention </t>
  </si>
  <si>
    <t>8. Updates on Tobacco Control Program</t>
  </si>
  <si>
    <t>9. Updates and Consultative Meeting for IPG Smoke-Free / Vape-Free Task Force &amp; Enforcers</t>
  </si>
  <si>
    <t>10. Updates on Blood Program (Ensuring na Safe Blood Supply through Donor Screening Training)</t>
  </si>
  <si>
    <t>11. Healthy Eating Habits and Food Label Reading Orientation</t>
  </si>
  <si>
    <t xml:space="preserve">12. Provincial Nutrition Committee (PNC)/ Provincial Nutrition Technical Working Group (PNCTWG) Quarterly Meeting </t>
  </si>
  <si>
    <t>13. Monitoring and Evaluation of the Local Level Plan Implementation and Culminating Activity</t>
  </si>
  <si>
    <t>14. Skills Training Course on Progestin-Only Subdermal Implant (PSII Insertion and Removal</t>
  </si>
  <si>
    <t>15. Health Celebration and Promotions on Various Health Programs</t>
  </si>
  <si>
    <t xml:space="preserve">Sub-total </t>
  </si>
  <si>
    <t>Capacity building/Updating/Orientation/Meetings of Health Personnel and Stakeholders on:</t>
  </si>
  <si>
    <t xml:space="preserve">Family Health Programs </t>
  </si>
  <si>
    <t xml:space="preserve">1. Dental Updates and Concultative Meeting (Oral Health Program and FHSIS Indicators) </t>
  </si>
  <si>
    <t>2. Training on Newborn Screening</t>
  </si>
  <si>
    <t>3. National Immunization and Newborn Screening Program Orientation for Health Care Providers</t>
  </si>
  <si>
    <t>4. Maternal Death Review</t>
  </si>
  <si>
    <t>5. Post Training Evaluation on Progestin-Only Subdermal Implant (PSI) Insertion and Removal)</t>
  </si>
  <si>
    <t>6. Comprehensive Refresher Mastering Partographs, WRA Tracking and Emergency Birth Plans</t>
  </si>
  <si>
    <t>7. Monitoring and Evaluationof the Local Level Plan Implementation</t>
  </si>
  <si>
    <t>8. Nutrition Program Implementation Review (PIR) for Municipal Nutrition Action Officer and Municipal Nutrition Coordination</t>
  </si>
  <si>
    <t>9. Municipal NutritionAction Officer Consultation and Nutrition Program Updates</t>
  </si>
  <si>
    <t>10. EmpoweringCommunities for Optimal Breastfeeding</t>
  </si>
  <si>
    <t>11. Updates on Food Fortification and Iron Fortified Rice Promotion</t>
  </si>
  <si>
    <t>12. Empowering Communities for Optimal Breastfeeding</t>
  </si>
  <si>
    <t xml:space="preserve">13. Farm to Plate: Promoting Local and Nutrition Food and Pinggag Pinoy through Nutrition Education and Food Demonstration </t>
  </si>
  <si>
    <t>14. Strengthening Local Nutrition Governance through the Reactivation of the Municipal NutritionCommittee</t>
  </si>
  <si>
    <t>15. Nutrition Summit and Recognition (Pasidungog)</t>
  </si>
  <si>
    <t>16. Training on Infant and Young Chjild Feeding (IYCF) for Health Service Providers</t>
  </si>
  <si>
    <t>17. Strengtehning Local Capacities for Nutrition Improvement: Nutrition Month 2026 Activity</t>
  </si>
  <si>
    <t xml:space="preserve"> Infectious Disease Prevention and Control Programs  </t>
  </si>
  <si>
    <t>1. Updates and consultative meeting on National Tuberculosis Program</t>
  </si>
  <si>
    <t>2. Regular Updates with PRCC</t>
  </si>
  <si>
    <t>3. Updates on NRPC for ABTC Managers</t>
  </si>
  <si>
    <t>4. Updates on P.D. 856 and Dengue Vector Surveillance</t>
  </si>
  <si>
    <t>5. Updates on Infectious Program and PIR</t>
  </si>
  <si>
    <t>bord and lodging</t>
  </si>
  <si>
    <t xml:space="preserve">Noncommunicable Disease Prevention and Control Programs  </t>
  </si>
  <si>
    <t>1. Orientation and Updates on PhilPEN</t>
  </si>
  <si>
    <t xml:space="preserve">2. Updates on Noncommunicable Disease Program  </t>
  </si>
  <si>
    <t>3. Noncommunicable Disease Program Implementation Review</t>
  </si>
  <si>
    <t>4. Orientation and Updates on Road Safety and Violence and Injury prevention Program (VIPP) with Vehicle Extrication Awareness Level</t>
  </si>
  <si>
    <t>5. Updates on Visual Acuity Screening, Geriatric wellness, and Disability Assessment</t>
  </si>
  <si>
    <t>B. TECHNICAL SERVICES / LOGISTICS SUPPORT</t>
  </si>
  <si>
    <t>1. Purchase of Drugs and Medicines for Distribution</t>
  </si>
  <si>
    <t xml:space="preserve">   1.a. ABC Kits for GIDA (aluminum hydroxide 
    + magnesium hydroxide, amlodipine, etc.)</t>
  </si>
  <si>
    <t xml:space="preserve">various drugs and medicines </t>
  </si>
  <si>
    <t>various drugs and medicines purchased</t>
  </si>
  <si>
    <t>Diabetis Milletus Drugs</t>
  </si>
  <si>
    <t>drugs and medicines purchased</t>
  </si>
  <si>
    <t xml:space="preserve">Food and Waterborne Medicine ( Zinc, metodinazole, azithromycin, etc) </t>
  </si>
  <si>
    <t xml:space="preserve">    1.b. Noncommunicable Disease (Insulin  
    humulin 70/30)</t>
  </si>
  <si>
    <t xml:space="preserve">    1.c. Family Health Drugs and Medicines
     (NSMP-Ferrous Salt)</t>
  </si>
  <si>
    <t>NSMP - Tetanus Toxoid</t>
  </si>
  <si>
    <t>Family Planning - Medroxyprogesterone 150mg/ml</t>
  </si>
  <si>
    <t xml:space="preserve">     1.d. Infectious Diseases Drugs and 
      Medicines (Isoniazid 75mg + Rifampicin 
      150mg + Pyrazinamide 400mg+Ethambutol 
      275mg</t>
  </si>
  <si>
    <t>Isoniazid 75mg + Rifampicin 150mg</t>
  </si>
  <si>
    <t>STI/HIV/AIDS (Azithromycin 500mg/tab (Tablet) &amp; Cefixime 200 mg/cap (capsule)</t>
  </si>
  <si>
    <t>Helminth-albendazole 400mg</t>
  </si>
  <si>
    <t>EREID (Doxycycline capsule)</t>
  </si>
  <si>
    <t>2. Purchase of Drugs and Medicines for Distribution (Mental Health Program)</t>
  </si>
  <si>
    <t xml:space="preserve">    2.a Various drugs and meds for Mental 
    Health</t>
  </si>
  <si>
    <t>purchase of Carbamazepine 200mg, Divalproex sodium 500mg, clozapine 100mg, Olanzapine 10mg, Escitalopram 10mg, Levetiracetam 500mg</t>
  </si>
  <si>
    <t>3. Purchase of Druygs and Medicines for Distribution (Healthy Hearts Program)</t>
  </si>
  <si>
    <t xml:space="preserve">    3.a Various drugs and meds for Mental 
    Health</t>
  </si>
  <si>
    <t>purchase of amlodipine 5mg tablet, 10mg tablet, losartan 50mg, 100mg tablet</t>
  </si>
  <si>
    <t xml:space="preserve">4. Purchase of Medical and Laboratory Supplies for Distribution </t>
  </si>
  <si>
    <t xml:space="preserve">     4.a. ABC Kits for GIDA (GIDA Kits -energy 
    box with supplies and materials)</t>
  </si>
  <si>
    <t>purchase of various medical and laboratory supplies</t>
  </si>
  <si>
    <t>various medical and laboratory supplies purchased</t>
  </si>
  <si>
    <t xml:space="preserve">     4.b. Noncommunicable Diseases (Insulin 
     syringe)</t>
  </si>
  <si>
    <t xml:space="preserve">     4.c. Family Planning and Oral Health - NIP 
    (cotton balls, syringe with needle, alcohol)</t>
  </si>
  <si>
    <t>purchase of Oral Health Kit (500 packs)</t>
  </si>
  <si>
    <t>Oral Health Kit (500 packs) purchased</t>
  </si>
  <si>
    <t>purchase of Fouride varnish (155kits)</t>
  </si>
  <si>
    <t>Fouride varnish (155kits) purchased</t>
  </si>
  <si>
    <t>purchase of Family Health Kits (300kits)</t>
  </si>
  <si>
    <t>Family Health Kits (300kits) purchased</t>
  </si>
  <si>
    <t>purchase of Maternal &amp; Newborn Kits (200 kits)</t>
  </si>
  <si>
    <t xml:space="preserve">Maternal &amp; Newborn Kits (200 kits) purchased </t>
  </si>
  <si>
    <t xml:space="preserve">purchase of NBSP - expanded NBS kits </t>
  </si>
  <si>
    <t>NBSP - expanded NBS kits purchased</t>
  </si>
  <si>
    <t>purchase of Drug Testing Kits</t>
  </si>
  <si>
    <t xml:space="preserve">Drug Testing Kits purchased </t>
  </si>
  <si>
    <t xml:space="preserve">      4.d. Infectious Diseases - PESU various 
       medical and laboratory supplies for 
      distribution</t>
  </si>
  <si>
    <t xml:space="preserve">purchase of various medical and laboratory supplies </t>
  </si>
  <si>
    <t xml:space="preserve">various medical and laboratory supplies purchasd </t>
  </si>
  <si>
    <t>Dengue - Dengue duo</t>
  </si>
  <si>
    <t>Dengue - Dengue duo purchased</t>
  </si>
  <si>
    <t>STI/HIV/AIDS - HBsAg Rapid Diagnostic Test Kits (30s/box)</t>
  </si>
  <si>
    <t>STI/HIV/AIDS - HBsAg Rapid Diagnostic Test Kits (30s/box) purchased</t>
  </si>
  <si>
    <t>STI/HIV/AIDS - Syphilis 3.0 Rapid Diagnostic Test Kits (30s/box)</t>
  </si>
  <si>
    <t>STI/HIV/AIDS - Syphilis 3.0 Rapid Diagnostic Test Kits (30s/box) purchased</t>
  </si>
  <si>
    <t>NTP - specimen cup, glass slides , AFB stain, giema stain, blood, lancet</t>
  </si>
  <si>
    <t>NTP - specimen cup, glass slides , AFB stain, giema stain, blood, lancet purchased</t>
  </si>
  <si>
    <t>syringes for rabies program</t>
  </si>
  <si>
    <t>syringes for rabies program purchased</t>
  </si>
  <si>
    <t>5. Purchase of Medical and Laboratory Supplies for Distribution (Water Testing)</t>
  </si>
  <si>
    <t xml:space="preserve">5. Purchase of water testing kits for distribution to LGUs to ensure households access to safely managed drinking water services </t>
  </si>
  <si>
    <t>purchase of chromogenic substrate for total and fecal colliform test of drinking water</t>
  </si>
  <si>
    <t>chromogenic substrate for total and fecal colliform test of drinking water  purchased</t>
  </si>
  <si>
    <t>6. Purchase of Medical and Laboratory Supplies for Distribution (Dengue Adulticides)</t>
  </si>
  <si>
    <t xml:space="preserve">6. Purchase of supplies for aedes vector borne prevention and control program for distribution to LGUs </t>
  </si>
  <si>
    <t>purchase of Cypermethrin</t>
  </si>
  <si>
    <t>Cypermetrine purchased</t>
  </si>
  <si>
    <t xml:space="preserve">7. Purchase of additional toilet bowl and accessories in suppport to ZOD-G2 for distribution to LGUs </t>
  </si>
  <si>
    <t xml:space="preserve">purchase of toilet bowls and accessories </t>
  </si>
  <si>
    <t xml:space="preserve">toiet bowls and accessories purchased </t>
  </si>
  <si>
    <t xml:space="preserve">8. Provision of Technical Assistance and monitoring of LGUs </t>
  </si>
  <si>
    <t xml:space="preserve">8. Provision of Technical Assistance (TA) and monitoring of LGUs </t>
  </si>
  <si>
    <t xml:space="preserve">Provision of TA and monitoring of LGUs </t>
  </si>
  <si>
    <t>TA and monitoring of LGUs provided</t>
  </si>
  <si>
    <t>9. Purchase of Augmentation Support to Nutrition Program Implementation (Various Food Supplies)</t>
  </si>
  <si>
    <t>Purchase of Augmentation Support to Nutrition Program Implementation (Various Food Supplies)</t>
  </si>
  <si>
    <t>Augmentation Support to Nutrition Program Implementation (Various Food Supplies) purchased</t>
  </si>
  <si>
    <t>10. Purchase of drugs and Medicines for PHO Operations (various drugs and medicines)</t>
  </si>
  <si>
    <t>purchase of Amoxicillian, et. Al</t>
  </si>
  <si>
    <t>Amoxicillian, et. Al purchased</t>
  </si>
  <si>
    <t>purchase of Ascorbic Acid, Citamin b1 + Vitamin B12 + Vitamin B6</t>
  </si>
  <si>
    <t>Ascorbic Acid, Citamin b1 + Vitamin B12 + Vitamin B7 purchased</t>
  </si>
  <si>
    <t>11. Provision of Augmentation Support for Rabies Prevention and Control Program Implementation (Vaccines for Dog Bites)</t>
  </si>
  <si>
    <t xml:space="preserve">     11.a. Vaccine, rabies chick embryo cell 2.5 
      IU powder for injection vial+1ml diluent 
      (purified inactivated)</t>
  </si>
  <si>
    <t>purchase of Vaccine, rabies chick embryo cell 2.5 IU powder for injection vial+1ml diluent (purified inactivated)</t>
  </si>
  <si>
    <t>Vaccine, rabies chick embryo cell 2.5 IU powder for injection vial+1ml diluent (purified inactivated) purchased</t>
  </si>
  <si>
    <t xml:space="preserve">      11.b. Anti-rabies serum 200 IU/ml, 5ml   
      solution for injection vial (equine)</t>
  </si>
  <si>
    <t>purchase of Anti-rabies serum 200 IU/ml, 5ml solution for injection vial (equine)</t>
  </si>
  <si>
    <t>Anti-rabies serum 200 IU/ml, 5ml solution for injection vial (equine) purchased</t>
  </si>
  <si>
    <t>12. Purchase of Augmentation Support for Mental Health and Substance Abuse Program Implementation (Anti-Illegal Drugs and Medicines)</t>
  </si>
  <si>
    <t>purchase of Vitamin C and Vitamin B1, B6, B12</t>
  </si>
  <si>
    <t>Vitamin C and Vitamin B1, B6, B13 purchased</t>
  </si>
  <si>
    <t xml:space="preserve">13. Purchase of Medical, dental and Laboratory Supplies for PHO Programs </t>
  </si>
  <si>
    <t>purchase of Cyphermetrin</t>
  </si>
  <si>
    <t>Cyphermetrin purchased</t>
  </si>
  <si>
    <t>purchase of Dengue Duo</t>
  </si>
  <si>
    <t>Dengue Duo purchased</t>
  </si>
  <si>
    <t>C. HEALTH ADVOCACY AND PROMOTION SERVICES</t>
  </si>
  <si>
    <t>1.Quad Media Campaigns on Various Health Programs (Advertising)</t>
  </si>
  <si>
    <t>purchase of Calendar of health celebrations (Table Top 2027)</t>
  </si>
  <si>
    <t>Calendar of health celebrations (Table Top 2027) purchased</t>
  </si>
  <si>
    <t>Radio Pluggings (All programs-150 slots)</t>
  </si>
  <si>
    <t>Sub Total</t>
  </si>
  <si>
    <t>D. HEALTH PLANNING, HUMAN RESOURCE AND INFORMATION MANAGEMENT SERVICES</t>
  </si>
  <si>
    <t xml:space="preserve">1. Pla and Budget Utilization Review 2025 </t>
  </si>
  <si>
    <t>2. Updates and Meeting of the Phramacy and Therapeutics Committee</t>
  </si>
  <si>
    <t>3. Updates on Human Resource for Health 
    Management and Development</t>
  </si>
  <si>
    <t>4. Province-wide Telemedicine Training</t>
  </si>
  <si>
    <t>5. FHSIS Data Validation and Reconciliation Workshop</t>
  </si>
  <si>
    <t>6. Updates on case Definitions of Mandatory Notifiable Diseases for Health Workers / Personnel for the Province of Iloilo</t>
  </si>
  <si>
    <t>E. PROVINCE-WIDE HEALTH SYSTEM FOR UNIVERSAL HEALTH CARE</t>
  </si>
  <si>
    <t>1. Pasidungog (Prizes)
    Health Excellence and Leadership (HEAL) 
    Awards Ceremony 2026</t>
  </si>
  <si>
    <t>catering services and other operating expenses</t>
  </si>
  <si>
    <t>2. Provincial Health Board Meetings</t>
  </si>
  <si>
    <t>catering services</t>
  </si>
  <si>
    <t xml:space="preserve">F. ADMINISTRATIVE SUPPORT AND LOGISTICS SERVICES </t>
  </si>
  <si>
    <t>Medical, Dental &amp; Laboratory Supplies Expenses</t>
  </si>
  <si>
    <t>Medical, Dental &amp; Laboratory Supplies Expenses paid</t>
  </si>
  <si>
    <t xml:space="preserve">Purchase of fuel, oil and lubricants </t>
  </si>
  <si>
    <t>fuel, oil, lubricants</t>
  </si>
  <si>
    <t xml:space="preserve">various purchased </t>
  </si>
  <si>
    <t xml:space="preserve">Purchase of Other supplies and expenses </t>
  </si>
  <si>
    <t>various supplies (Air freshener, et. al.- house keeping supplies)</t>
  </si>
  <si>
    <t>various supplies purchased  and other expenses paid</t>
  </si>
  <si>
    <t xml:space="preserve">Telephone Expenses </t>
  </si>
  <si>
    <t>telephone expenses</t>
  </si>
  <si>
    <t>telephone expenses paid</t>
  </si>
  <si>
    <t>Internet Subscription Expenses</t>
  </si>
  <si>
    <t xml:space="preserve">internet fees </t>
  </si>
  <si>
    <t>continous internet subscription paid</t>
  </si>
  <si>
    <t>Advertising Expenses</t>
  </si>
  <si>
    <t>IEC matertials vor various health programs</t>
  </si>
  <si>
    <t>IEC matertials vor various health programs paid</t>
  </si>
  <si>
    <t>Subscription Expenses</t>
  </si>
  <si>
    <t>Subscription fees</t>
  </si>
  <si>
    <t>Subscription fees paid</t>
  </si>
  <si>
    <t xml:space="preserve">Repair and maintenance of transportation equipment </t>
  </si>
  <si>
    <t xml:space="preserve">repair and maintenance expenses </t>
  </si>
  <si>
    <t xml:space="preserve">vehicle repaired and maintained </t>
  </si>
  <si>
    <t>Repair and maintenance of furnitures and fixtures</t>
  </si>
  <si>
    <t xml:space="preserve">furniture and fixtures repaired and maintained </t>
  </si>
  <si>
    <t>Insurance Expenses</t>
  </si>
  <si>
    <t>insurance fees</t>
  </si>
  <si>
    <t>insurance expenses paid</t>
  </si>
  <si>
    <t xml:space="preserve">Other maintenance and operating expenses </t>
  </si>
  <si>
    <t xml:space="preserve">various maintenance and operating expenses </t>
  </si>
  <si>
    <t>various maintenance and operating expenses paid</t>
  </si>
  <si>
    <t xml:space="preserve">Grand Total </t>
  </si>
  <si>
    <t>OFFICE OF THE PROVINCIAL HEALTH OFFICER</t>
  </si>
  <si>
    <t>Office of the Local Economic Development and Investment Promotion Officer</t>
  </si>
  <si>
    <t>BUSINESS ENABLING ENVIRONMENT SERVICES</t>
  </si>
  <si>
    <t>A. Provision of Technical Assistance to C/MLGUs including but not limited to the conduct of capacity building on the development and/or enhancement of systems, policies and plans through trainings and similar activities to enhance business friendliness and competitiveness and other similar activities</t>
  </si>
  <si>
    <t>OLEDIPO</t>
  </si>
  <si>
    <t>Provision of technical assistance and capacity building activities as requested by LGUs and Groups</t>
  </si>
  <si>
    <t>4 coordination meetings and technical assistance conducted and/or provided</t>
  </si>
  <si>
    <t>NP SV</t>
  </si>
  <si>
    <t>January</t>
  </si>
  <si>
    <t>December</t>
  </si>
  <si>
    <t>MICRO, SMALL, AND MEDIUM ENTERPRISE AND INDUSTRY DEVELOPMENT</t>
  </si>
  <si>
    <t>A. Provision of capacity development training, technical assistance, organizational development and strengthening, and needs assessment  to various Micro, Small and Medium Enterprises and industry groups</t>
  </si>
  <si>
    <t xml:space="preserve">Conduct of entrepreneurship, business development-related trainings, product development, value addition/ skills training for women, youth, IPs and other sectors </t>
  </si>
  <si>
    <t>10 activities for food and non-food sectors and industry development
200MSMEs assisted and provided with technical assistance</t>
  </si>
  <si>
    <t xml:space="preserve"> B. Provision of support to MSMEs' participation in local and national marketiang events - trade fairs, exhibits, food festivals, business tie-ups and similar market exposure and linkage activities including but not limited to display module fabrication, purchase of inventory equipment, supplies and materials and event management services</t>
  </si>
  <si>
    <t>Trade fairs/Marketing events organized and/or participated in;
MSMEs assisted;
Exhibit modules procured</t>
  </si>
  <si>
    <t xml:space="preserve">5 trade fairs/marketing events organized and/or participated in
 </t>
  </si>
  <si>
    <t>C. Provision of loan assistance to Micro and Small Enterprises and Returning OFWs</t>
  </si>
  <si>
    <t>Loan assistance provided to MSMEs and displaced OFWs</t>
  </si>
  <si>
    <t>20 loan aapplicants assessed
10 loan applicants processed</t>
  </si>
  <si>
    <t>Claims</t>
  </si>
  <si>
    <t>D. Procurement of equipment, supplies, materials and other operational services for the Provincial Packaging and Labeling Center (PPLC)</t>
  </si>
  <si>
    <t>Operationalization of the Provincial Packaging and Labeling Center (PPLC)</t>
  </si>
  <si>
    <t>All supplies, materials and other operational services for the Provincial Packaging and Labeling Center (PPLC) procured</t>
  </si>
  <si>
    <t>E. Acquisition of tools, machinery and other shared service equipment to support and enhance enterprise enterprise operations as well as other related activities of groups and associations assisted by the center including but not limited to food processing equipment, handicraft making tools, handloom, module fabrication, purchase of inventory and similar resources</t>
  </si>
  <si>
    <t xml:space="preserve">Acquisition of tools for distribution to assisted community-based livelihood enterprises </t>
  </si>
  <si>
    <t>All equipment, supplies, materials procured</t>
  </si>
  <si>
    <t>Others</t>
  </si>
  <si>
    <t>F. Implementation of the Startup Development Program</t>
  </si>
  <si>
    <t>Provision of financial and technical support to startups and accelerators, and activities to promote startup development among LGUs to foster innovation and entrepreneurship</t>
  </si>
  <si>
    <t>Number of early-stage startups assisted
All startup support activities conducted</t>
  </si>
  <si>
    <t>G. Procurement of technical assistance, capacity development activities, and operational services for Iloilo Micro, Small, and Medium Development (MSMED) Council</t>
  </si>
  <si>
    <t>Functional PMSMED Council</t>
  </si>
  <si>
    <t>No. of partnership meetings, technical assistance and capacity development activities conducted and attended</t>
  </si>
  <si>
    <t>INVESTMENT PROMOTION, GENERATION AND SERVICING</t>
  </si>
  <si>
    <t xml:space="preserve">A. ProvIsion of capacity building assistance to LGUs and partners and partners and other similar activities related to investment promotion, generation and servicing </t>
  </si>
  <si>
    <t xml:space="preserve">Conduct of investment promotion related capacity building assistance to LGUs and partners  </t>
  </si>
  <si>
    <t>2 investment promotion related activities conducted
5 partnership meetings conducted</t>
  </si>
  <si>
    <t>B. Updating of the economic database and reproduction of promotional collaterals and publication in social media platforms</t>
  </si>
  <si>
    <t>Updating and reproduction of the economic database and preparation of pubmats and publication in social media</t>
  </si>
  <si>
    <t xml:space="preserve">2 promo materials updated and reproduced
2 social media maintained
</t>
  </si>
  <si>
    <t>C. Participation in local and national LGU awards and recognition i.e. CMCI LGU  2024 PCCI Search for the Most Business Friendly and Competitive LGUs</t>
  </si>
  <si>
    <t>Preparation and submission of entry to PCCI Search for the Most Business Friendly LGU Award</t>
  </si>
  <si>
    <t xml:space="preserve">1 entry to PCCI-Most Business Friendly LGU award; 
bidbook prepared and submitted </t>
  </si>
  <si>
    <t xml:space="preserve">D. Conduct and/or participation to local and national investment promotion activities such as investment forum, expositions, roadshows, business matching and similar activities to promote the province as an investment destination </t>
  </si>
  <si>
    <t>Investment promotion activities conducted and or participated in</t>
  </si>
  <si>
    <t xml:space="preserve">3 investment promotion and similar activities conducted and/or participated in
</t>
  </si>
  <si>
    <t>Charge to office of the Governor
1,225,000 display modules (continuing)</t>
  </si>
  <si>
    <t>MANAGEMENT AND OPERATIONS</t>
  </si>
  <si>
    <t xml:space="preserve">A. Provision of salaries and personal benefits of regular personnel and proposed plantilla positions (for Clerk III and Administrative Aide  III-Driver) and wages for COS, JOSS, &amp; Jos of the LEDIP Center </t>
  </si>
  <si>
    <t xml:space="preserve">Provision of salaries and personal benefits of regular personnel and proposed plantilla positions and wages for COS &amp; JOSS of the LEDIP Center </t>
  </si>
  <si>
    <t>All regular employees paid their salaries and benefits
All COS &amp; JOSS paid their wages</t>
  </si>
  <si>
    <t>B. Learning and capacity development for LEDIP Center personnel including but not limited to the ff:Leadership, laws, policies and regulations, financing investment and promotion &amp; stewardhsip &amp; other training/workshop &amp; seminar to improve performance</t>
  </si>
  <si>
    <t>Conduct of learning and development related trainings, seminars, workshops for LEDIP Center personnel to improve performance</t>
  </si>
  <si>
    <t>LEDIP Center fully functional
100% of personnel with improved admin, technical and supervisory skills</t>
  </si>
  <si>
    <t>C. Procurement and/or reimbursement of of operational supplies and services such as but not limited to office training supplies, furniture and fixtures, travel, gas and oil and maintenance services for the regular operations of the LEDIP Center</t>
  </si>
  <si>
    <t>Procurement of service vehicle and/or reimbursement of operational supplies and services, furniture and fixtures, travel, gas and oil and maintenance services for the regular operations of the center</t>
  </si>
  <si>
    <t>All supplies, equipment and services procured and maintained</t>
  </si>
  <si>
    <t>Bidding
NPSV</t>
  </si>
  <si>
    <t>Including 2024 budget of P2.2 M for service vehicle</t>
  </si>
  <si>
    <t>D. Pocurement of ICT and office equipment but not limited to computer desktops, laptops, printers, AVR, photocopier for the use of LEDIP Center</t>
  </si>
  <si>
    <t>Procurement of repair and maintenance services</t>
  </si>
  <si>
    <t>Office of the Provincial Environment and Natural Resources Officer</t>
  </si>
  <si>
    <t>A. ENVIRONMENTAL MANAGEMENT SERVICES PROGRAM</t>
  </si>
  <si>
    <t>1. Forest Protection and Rehabilitation Project (Forest Ecosystem Mgt.-Protection Forest and Key Biodiversity Areas (KBAs)</t>
  </si>
  <si>
    <t>PGENRO</t>
  </si>
  <si>
    <t xml:space="preserve">Maintenance of rehabilitated open upland/ forest areas and at the same time  protection of the area from illegal cutting/ poaching, forest fires and harvesting of forest products.  </t>
  </si>
  <si>
    <t>2026 General Fund (Other MOE)</t>
  </si>
  <si>
    <t>Jan. 2026</t>
  </si>
  <si>
    <t>Dec. 2026</t>
  </si>
  <si>
    <t>2. Upland Development Project/ Integrated Social Forestry Project (Upland  Ecosystem Management)</t>
  </si>
  <si>
    <t>The project is focused on the development of the timberland and Integrated Social Forestry (ISF) areas in the Province of Iloilo. It has three (3) major components-agroforestry development, promotion of Rainwater Harvesting Technologies and Community Organizing as development tool for the ISF beneficiaries</t>
  </si>
  <si>
    <t>To uplift the socio-economic conditions of the upland partners and other forest occupants and communities dependent on forest lands for their livelihood and to protect and improve the quality of the environment.</t>
  </si>
  <si>
    <t xml:space="preserve"> Loong &amp; Placido, Concepcion, Santiago, Ugasan &amp; Lipata, Btac. Viejo, Yawyawan &amp;Marapal, Lemery, Balabag, Anilao, Igcaratong &amp; Tiglawa, San Joaquin</t>
  </si>
  <si>
    <t>CY 2024 Protection and Maintenance</t>
  </si>
  <si>
    <t>2026 General Fund(Other MOOE)</t>
  </si>
  <si>
    <t xml:space="preserve">a.  55 hectares Cacao Plantation CY 2024 </t>
  </si>
  <si>
    <t>34, 375 cacao seedlings wingweeded/ mulched</t>
  </si>
  <si>
    <t>Balabag, Anilao, Loong, Concepcion, Santiago, Btac. Viejo, Tiglawa and Igcaratong, San Jaoquin</t>
  </si>
  <si>
    <t>b.  55 hectares Coffee Plantation CY 2024</t>
  </si>
  <si>
    <t>34, 375 coffee seedlings wingweeded/ mulched</t>
  </si>
  <si>
    <t xml:space="preserve">c. 50 hectares Orchard/ fruit trees Production area </t>
  </si>
  <si>
    <t>13,900 fruit trees seedlings ringweed/ mulched</t>
  </si>
  <si>
    <t>CY 2023 Protection and Maintenance</t>
  </si>
  <si>
    <t>a. 50 hectares Cacao Plantation CY 2023</t>
  </si>
  <si>
    <t>31,250 cacao seedlings wingweeded/ mulched</t>
  </si>
  <si>
    <t>Lipata &amp; Ugasan, Btac. Viejo, Loong &amp; Plandico, Concepcion and Marapal, Lemery</t>
  </si>
  <si>
    <t xml:space="preserve">b. 45 hectares Orchard/ fruit trees Production area </t>
  </si>
  <si>
    <t>12,510 fruit trees seedlings ringweed/ mulched</t>
  </si>
  <si>
    <t>3. Freshwater and Wetlands Management Project (Freshwater/ Riparian Ecosystem Mgt. )</t>
  </si>
  <si>
    <t xml:space="preserve">Institutionalization and strenthening of local watershed boards, formulation of an integrated watershed plans towars a blue water Iloilo province </t>
  </si>
  <si>
    <t>4. Provincial Solid Waste Management Project (Urban Management Ecosystem)</t>
  </si>
  <si>
    <t xml:space="preserve">Proper waste management is a thrust towards a clean and green Iloilo Province. </t>
  </si>
  <si>
    <t>2025 General Fund(Other MOOE)</t>
  </si>
  <si>
    <t>a. Provision of financial support for the establishment of SLF, Zero Waste Technology, Rehabilitaion of Disposal facility and other related facilities</t>
  </si>
  <si>
    <t>Finanacial support to the implmentation of SWM program and activities</t>
  </si>
  <si>
    <t>LGUs availed of financial assistance</t>
  </si>
  <si>
    <t>5. Coastal/ Marine Resource Management Project ( Coastal Marine Ecosystem Management )</t>
  </si>
  <si>
    <t>The coastal ecosystem management aims to comprehensively manage, address and effectively reduce the drivers and threats of degration of the coastal ecosystems in order to achieve and promote sustainability of ecosystem services, food security and climate change  resiliency for the benefit of the present and future generation.</t>
  </si>
  <si>
    <t>2026 General Fund(Other MOOE)-Protection and Maintenance of Projects</t>
  </si>
  <si>
    <t>Jan. 20, 2026</t>
  </si>
  <si>
    <t>A. Mangrove Reforestation Project</t>
  </si>
  <si>
    <t>1. Protection and Maintenance</t>
  </si>
  <si>
    <t>30.0 hectares maintained</t>
  </si>
  <si>
    <t>Brgy. Culasi, Ajuy, Iloilo</t>
  </si>
  <si>
    <t xml:space="preserve">1.a. Protection and Maintenance of 30.0 has Established Plantation </t>
  </si>
  <si>
    <t>1..b. Replanting and removal of debris</t>
  </si>
  <si>
    <t xml:space="preserve"> 2. Protection and Maintenance of  15.0 hectares Established Plantation</t>
  </si>
  <si>
    <t>15.0 hectares maintained</t>
  </si>
  <si>
    <t>Brgy. Rojas, Ajuy, Iloilo</t>
  </si>
  <si>
    <t>2.a. Replanting and removal of debris</t>
  </si>
  <si>
    <t>2. b. Repair and maintenance of wave Breaker</t>
  </si>
  <si>
    <t>B. Enhancement of support facility of Provincial Katunggan Ecological and Economic Park</t>
  </si>
  <si>
    <t>Establishment of support facility of Provincial Katunggan Ecological and Economic Park</t>
  </si>
  <si>
    <t>20% NTA CO FY 2026</t>
  </si>
  <si>
    <t>Jan.2026</t>
  </si>
  <si>
    <t>6. Special Project ( Tanum Iloilo/ Green Spaces/ Urban regreening Projects</t>
  </si>
  <si>
    <t>a. Special Project (Tanum Iloilo/ Green Spaces)</t>
  </si>
  <si>
    <t>Establishment of green spaces</t>
  </si>
  <si>
    <t>20% IRA MOOE FY 2026</t>
  </si>
  <si>
    <t>b. Urban Greening Project</t>
  </si>
  <si>
    <t>Establishment of Urban Green Project (Bamboo Establishment)</t>
  </si>
  <si>
    <t>c. Development of Butterfly Garden/ Botanical Garden/ Picnic Garden/ Campasite</t>
  </si>
  <si>
    <t xml:space="preserve">Area development of Butterfly Garden/ Botanical Garden </t>
  </si>
  <si>
    <t>B. ENVIRONMENTAL ENGINEERING PROGRAM</t>
  </si>
  <si>
    <t>1. Renewable Energy Project/ Green Energy</t>
  </si>
  <si>
    <t>a. Street Lights Installation</t>
  </si>
  <si>
    <t>5 project sites with solar streetlights installed
10 projects monitored</t>
  </si>
  <si>
    <t>b. Installation of Solar Power at Capitol Building</t>
  </si>
  <si>
    <t>Construction of Solar PV system at Iloilo Provincial Capitol Complex's Rooftop and Walkway for Phase 1 &amp; 2 with a total of 200 KW</t>
  </si>
  <si>
    <t>Installation of Solar Power at Capitol Complex</t>
  </si>
  <si>
    <t>Phase 2 of Solar Installation</t>
  </si>
  <si>
    <t>OFFICE OF THE INFORMATION COMMUNICATION TECHNOLOGY MANAGEMENT OFFICER</t>
  </si>
  <si>
    <t>Payments of Salaries &amp; Other Benefits of Plantilla Personnel</t>
  </si>
  <si>
    <t>INFORMATION COMMUNICATION TECHNOLOGY MANAGEMENT OFFICE</t>
  </si>
  <si>
    <t>Salaries/wages, incentives and benefits of regular employees paid</t>
  </si>
  <si>
    <t>Payment of salaries,  benefits, and incentives of all plantilla personnel, including the creation of new positions, implementation of salary adjustments, and provision of other authoprized incentives and benefits, in accordance with existing laws, policies, guidelines, directives, and related issuances.</t>
  </si>
  <si>
    <t>General Fund</t>
  </si>
  <si>
    <t>On-going</t>
  </si>
  <si>
    <t>Office operational expenditures (includes but not limited to supplies, trainings, travels, furniture &amp; fixtures etc.)</t>
  </si>
  <si>
    <t>Office operating and maintenance expenses which includes but is not limited to all office supplies, travel, trainings / seminars, fuel / lubricants, other general services, hiring of JOSS/COS and other proferssional services, internet and other subscriptions, all repairs and maintenance, procurement of all kinds of equipment, furnitures and fixtures, othermachineries, service vehicle, and other operating expenses, etc.</t>
  </si>
  <si>
    <t>Small Value Procurement, Negotiated Procurement, Direct Contracting, Public Bidding</t>
  </si>
  <si>
    <t>1.1.1 Provincial &amp; Municipal System Development and Enhancement Projects</t>
  </si>
  <si>
    <t>Development, enhancement and maintenance of In-house software systems customized to the needs of Iloilo Provincial Government for an automated and efficient service delivery
Municipal and hospital trouble shooting easier in the purchase of motor vehicle</t>
  </si>
  <si>
    <t xml:space="preserve">Provincial &amp; Municipal Systems Development and Enhancement for Ease of Doing Business which includes but not limited to:
Assessment Systems ready for future Real Property Tax Revisions
ew enhancements on the GSO Asset Inventory System &amp; GSO Supply Inventory System
Modifications on the HR HRIS System and the PAIS Systems
Additional requireements for the PPDO Project Monitoring System
Development of the PGENRO iBOBBIT System
Phase I of Monitoring Annual Investment Plan System
</t>
  </si>
  <si>
    <t>Iloilo Provincial Government Offices and LGUs</t>
  </si>
  <si>
    <t>Public Bidding for Service Vehicles, Laptops, Back-up Servers</t>
  </si>
  <si>
    <t>1.1.2 Provioncial- Based Office Systems Modification and Enhancement Projects</t>
  </si>
  <si>
    <t xml:space="preserve">Modifications and Upgrading of Legacy softwares like PIMS, eDTS, ATiKS and continued support to off-site softwares like PITAS, i-HOMIS and i-Clinic
</t>
  </si>
  <si>
    <t>1.2 Network Maintenance / Enhancement / Upgrading</t>
  </si>
  <si>
    <t>To provide quality and continuous connectivity to internet and intranet connectivity in the Iloilo Provincial Government</t>
  </si>
  <si>
    <t xml:space="preserve">Network maintainance / administration / upgrading of Database / Proxy Servers, Gateway / Firewall / Core switich IDF / IDF Switches),
200 Mbps Bandwidth increased;  1Tb internet/intranet connectivity managed; 
Add Access Point to strategic locations in the Iloilo Provincial Capitol
Availability of Emergency Off-site internet through Starlink Subscription
</t>
  </si>
  <si>
    <t>Direct Contracting and Public Bidding for Internet Subscriptions SIP Trunk Subscriptions,
 Small Value Procurement for Webhosting</t>
  </si>
  <si>
    <t>1.3 Hardware and Software Trouble-shooting and Maintenance</t>
  </si>
  <si>
    <t xml:space="preserve">To provide computer hardware, software and network assistance including maintainance, trouble-shooting, software installations and connectivity to the IPG offices </t>
  </si>
  <si>
    <t>Capitol IT equipment maintained
Biometric Machines maintained
Avaya IP-phones controller maintained, broken IP-phones replaced
Data back-ups monitored and saved oeriodically</t>
  </si>
  <si>
    <t>1.4 Digital Communications Management and Maintenance and Virtual Meetings Facilitated</t>
  </si>
  <si>
    <t>Maintain and host websites for online access to Iloilo Provincial Govt. information, resources and services to the public and administer, facilitate and assist virtaul meetings</t>
  </si>
  <si>
    <t>IPG Website back-end maintainance and content uploading (iloilo.gov.ph)
MorProgresiloilo.biz back-end maintenance and content uploading
Virtual Meetings administration and assistance
Web Server support and Web-hosting of PAIS, I-HOMIS, HRIS and other web-based systems continued and maintained
GovMail use monitored</t>
  </si>
  <si>
    <t>1.5 Systems Capability Development / Enhancement</t>
  </si>
  <si>
    <t xml:space="preserve">To equip Iloilo Provincial Government employees with technical skills in using Information Technology for office use </t>
  </si>
  <si>
    <t>Trainings conducted on IT skills</t>
  </si>
  <si>
    <t>1.6 Data Privacy Implementation</t>
  </si>
  <si>
    <t>Organized Data Privacy Framework in the Iloilo Provincial Government
Seminars on Data Privacy Seminars for COPs, PICs and PIPs
Approved Data Privacy Manual</t>
  </si>
  <si>
    <t>Negotiated Procurement (Small Value) for Training Needs</t>
  </si>
  <si>
    <t>Appraisal and Assessment services</t>
  </si>
  <si>
    <t>Office of the Provincial Assessor</t>
  </si>
  <si>
    <t>Conduct of appraisal and assessment of existing and newly discovered buildings/improvements and lands in all transactions.</t>
  </si>
  <si>
    <t>Number of Real Property Units of existing and newly discovered lands, buildings and other improvements.</t>
  </si>
  <si>
    <t>January 1, 2026</t>
  </si>
  <si>
    <t>December 31, 2026</t>
  </si>
  <si>
    <t>on-going</t>
  </si>
  <si>
    <t>Prepares certified copies of Tax Declarations, certifications and other assessment records.</t>
  </si>
  <si>
    <t>Percentage of CTC, certifications and other assessment records issued</t>
  </si>
  <si>
    <t>Conduct of capability development programs (also includes awards and reccognition events, assessment planning/evaluation activities)</t>
  </si>
  <si>
    <t>Capability development programs for Municipal Assessors and office personnel</t>
  </si>
  <si>
    <t xml:space="preserve">Number of capability development programs for Municipal Assessors and office personnel conducted. </t>
  </si>
  <si>
    <t>General Revision of Real Property Assessments</t>
  </si>
  <si>
    <t>Preparation of the proposed Schedule of Market Values of lands, buildings, machineries and other improvements on real property assessments in the Province of Iloilo with posting/publication and other consultations</t>
  </si>
  <si>
    <t>Proposed 2026 SMV</t>
  </si>
  <si>
    <t>Digitization of Assessment Records/Documents</t>
  </si>
  <si>
    <t xml:space="preserve">Scans section maps and tax declarations </t>
  </si>
  <si>
    <t>No. of digitized Section Maps and Tax Declarations.</t>
  </si>
  <si>
    <t>Updating of Real Property Assessment Records under the Local Government Reform Project</t>
  </si>
  <si>
    <t>Updates and prepares report of record of real property assessments</t>
  </si>
  <si>
    <t>Percentage of reports updated in the record of real property assessments.</t>
  </si>
  <si>
    <t>Office of the Provincial Agriculturist</t>
  </si>
  <si>
    <t>2026 PPA's To be Implemented</t>
  </si>
  <si>
    <t xml:space="preserve">1. Rice Development </t>
  </si>
  <si>
    <t>Provincial Agriculture Office</t>
  </si>
  <si>
    <t>Increase rice production through provision of access to high quality rice seeds, balnce fertilization, hybrid rice support and scaled-up rice industry support programs.</t>
  </si>
  <si>
    <t xml:space="preserve">No. of agri-inputs procured and distributed but not limited to seeds, fertilizers/pesticides, fungicide,sacks, boots, 500sqm. Of black rice established , no. training/meetings  conducted </t>
  </si>
  <si>
    <t>27,510.000.00</t>
  </si>
  <si>
    <t>1.1 Establishment of Water House Facility</t>
  </si>
  <si>
    <t xml:space="preserve">1 unit warehouse facilty constructed </t>
  </si>
  <si>
    <t>20% NTA</t>
  </si>
  <si>
    <t xml:space="preserve">1.2 Establishment of drying facilities </t>
  </si>
  <si>
    <t>4 units Flatbed Dyer with Accessorries</t>
  </si>
  <si>
    <t xml:space="preserve">1.3 Procurement of Farm Machiniries </t>
  </si>
  <si>
    <t>1 unit Four Wheel drive Tractor with Complete Accessories and 1  Unit Ridge Machine</t>
  </si>
  <si>
    <t xml:space="preserve">2. Sugarcane Development Project </t>
  </si>
  <si>
    <t>Enhance the province's sugarcane industry by promoting the use of high-yielding varieties and the adaption of good agricultural practices.</t>
  </si>
  <si>
    <t>1  Techno Demo on Sugarcane  Maintained and   No. of Agri- inputs procured and distributed</t>
  </si>
  <si>
    <t>ART, Center Nanga Pototan,</t>
  </si>
  <si>
    <t>920.000.00</t>
  </si>
  <si>
    <t>Jan, 26</t>
  </si>
  <si>
    <t>Dec.  26</t>
  </si>
  <si>
    <t xml:space="preserve">3. Coconut Development Project </t>
  </si>
  <si>
    <t>Enhance the productivity and sustainability of the coconut industry to support economic growth and improve farmers livelihood</t>
  </si>
  <si>
    <t>5 district provided/ditributed of Agricultural inputs, 1 coconut week celebration conducted, No. of trainings/meetings conducted</t>
  </si>
  <si>
    <t>2,460.000.00</t>
  </si>
  <si>
    <t xml:space="preserve">4. Cofffee Development Project </t>
  </si>
  <si>
    <t>Increase the availability of good quality coffee planting in the province of Iloilo.</t>
  </si>
  <si>
    <t xml:space="preserve">3 scion grove for coffee maintained; 8,000 seedlings produced no. of agri -inputs,suppplies procured and distributed , no. trainings/meetings conducted </t>
  </si>
  <si>
    <t>3,460.000.00</t>
  </si>
  <si>
    <t>5. Cacao Development Project</t>
  </si>
  <si>
    <t>Establishment of cacao nurseries, distribution of agri-inputs and capacity development to cacao farmers.</t>
  </si>
  <si>
    <t>2 budwood nursery  for cacao established , 3000. grafted cacao seedlings, no.  Of agri inputs, no.of supplies procured, and distributed, 1 municipal nursery  established and maintained, no. of trainings /meetings conducted</t>
  </si>
  <si>
    <t>2,960.000.00</t>
  </si>
  <si>
    <t>6. Vegetable Development Project</t>
  </si>
  <si>
    <t>Provision of agricultural inputs and supplies to municipalities engaging in upland vegetable farming in the province.</t>
  </si>
  <si>
    <t xml:space="preserve">5 municipalities privided by agri - agri-input,inputs, no.of agri-nputs, 1 vegetable nursery, established and maintained. No of suppplies procured and distributed, no. of trainings/meetings conducted </t>
  </si>
  <si>
    <t xml:space="preserve">to be identified </t>
  </si>
  <si>
    <t>1,010.000.00</t>
  </si>
  <si>
    <t>7. Seaweed Development</t>
  </si>
  <si>
    <t>Strengthen productivity, quality, and profitability of seaweed farming in Northern Iloilo through a combination of infrastructure development, technology support, capacity development and market access.</t>
  </si>
  <si>
    <t>7.1 Improvement of seaweed industry</t>
  </si>
  <si>
    <t xml:space="preserve">1 Seaweed Culture laboratory (SCL) established </t>
  </si>
  <si>
    <t>NISU Concepcion Campus</t>
  </si>
  <si>
    <t>BFAR 
(EPSDP)</t>
  </si>
  <si>
    <t>Jan 2026</t>
  </si>
  <si>
    <t>Dec 2026</t>
  </si>
  <si>
    <t>2 seaweed dryer established</t>
  </si>
  <si>
    <t>Taloto-an, Concepcion
San Dionisio</t>
  </si>
  <si>
    <t>2 kiosks distributed</t>
  </si>
  <si>
    <t xml:space="preserve">1 seaweed tissue culture laboratory established and  improved </t>
  </si>
  <si>
    <t>Gen Fund 2026</t>
  </si>
  <si>
    <t>2 seaweed nurseries established</t>
  </si>
  <si>
    <t>San Dionisio
Concepcion</t>
  </si>
  <si>
    <t>6 units motorized boats provided</t>
  </si>
  <si>
    <t># of postharvest facility and equipment disributed</t>
  </si>
  <si>
    <t># elevated seaweed solar dryer established, nursery improved, cap dev activites conducted, machineries &amp; equipment procured</t>
  </si>
  <si>
    <t>DOST-CEST</t>
  </si>
  <si>
    <t>8. Finfish (Milkfish, Grouper, etc.) Development Project</t>
  </si>
  <si>
    <t>Establishment of finfish mariculture technology demonstration site</t>
  </si>
  <si>
    <t>1 milkfish mariculure technology demonstration site/s established</t>
  </si>
  <si>
    <t>8.1 Improvement of finfish industry</t>
  </si>
  <si>
    <t>Establishment of support facilities</t>
  </si>
  <si>
    <t xml:space="preserve"># of support facilities established </t>
  </si>
  <si>
    <t xml:space="preserve">9.Other Agri-Fishery Special Project Including but not limited to gardens, cattle, goat, livestock, poultry, etc.                                                                                                                                                                                                                                                                                                                                               </t>
  </si>
  <si>
    <t xml:space="preserve">Conduct of different activities for the implementation of .Other Agri-Fishery Special Project Including but not limited to caco, coffee,cattle, milkfish, etc. and other land improvement  </t>
  </si>
  <si>
    <t>No. of breeder stocks procured
No. of agri-fishery nurseries established
No. of agri fishery inputs procured
No. of agri-fishery inputs procured and distributed
No. of training/meeting conducted
No. of personnel engaged
No. of agri fishery structures established/constructed
No. of agri-fishery equipment/machines procured
No. of Land improvement established</t>
  </si>
  <si>
    <t>26, 015, 000.00</t>
  </si>
  <si>
    <t>K.Other Agri-Fishery Special projects including but not limited to gardens, cattle, goat, livestock, poultry, etc.)</t>
  </si>
  <si>
    <t>2025 ON GOING IMPLEMENTATION</t>
  </si>
  <si>
    <t>Cacao Development Project</t>
  </si>
  <si>
    <t xml:space="preserve">No. of agri-fishery nurseries established; </t>
  </si>
  <si>
    <t>2 Cacao Budwood Nursery established
1 Municipal Nursery established</t>
  </si>
  <si>
    <t>Inputs- San Joaquin, Badiangan, Tubungan, Sara, Calinog, Dingle, Btac. Viejo
SUCs- WVSU-CAF; ISUFST -Dingle
Municipal Nursery- Calinog, Iloilo</t>
  </si>
  <si>
    <t>Jan. 2025</t>
  </si>
  <si>
    <t>Dec. 2025</t>
  </si>
  <si>
    <t>P.R for 1st sem. Agricultural supplies GSO compliance ( AGR-25-620B); Other supplies GSO compliance AGR-25-619B) ; P.R for grafted cacao seedlings (AGR-25-618B) GSO compliance; 2nd sem agricultural supplies (AGR-25-1524) for delivery; 2nd sem. Other supplies AGR-25-1338) for delivery. MOA for budwood Nursey for checking of SUCs Board of Regents; Remaining municipalities for input distribution schedule 1st quarter of 2026; payment on process for training.</t>
  </si>
  <si>
    <t>No. of agri-fishery inputs procured and distributed</t>
  </si>
  <si>
    <t xml:space="preserve"> 7 highly suitable cacao municipality agri- inputs distributed</t>
  </si>
  <si>
    <t>3( Badiangan, San Joaquin, Tubungan) highly suitable cacao municipality agri-inputs distributed;</t>
  </si>
  <si>
    <t xml:space="preserve"> No. of trainings conducted</t>
  </si>
  <si>
    <t>1 trainings conducted</t>
  </si>
  <si>
    <t>1 training on cacao conducted</t>
  </si>
  <si>
    <t>Coffee Development Project</t>
  </si>
  <si>
    <t>3 coffee scion grove Nursery established</t>
  </si>
  <si>
    <t>Inputs- Calinog, Dingle, Tubungan, Janiuay, Leon, Igbaras
SUCs- WVSU-CAF, ISUFST-Dingle, ISAT-U, Leon</t>
  </si>
  <si>
    <t>P.R for 1st sem. Agricultural supplies GSO compliance ( AGR-25-620B); Other supplies GSO compliance AGR-25-619B) ; P.R for grafted cacao seedlings (AGR-25-618B) GSO compliance; 2nd sem agricultural supplies (AGR-25-1524) for delivery; 2nd sem. Other supplies AGR-25-1338) for delivery. MOA for scion grove Nursey for checking of SUCs Board of Regents; Remaining municipalities for input distribution schedule 1st quarter of 2026. Payment on process for training.</t>
  </si>
  <si>
    <t>6 highly suitable coffee municipality agri- inputs distributed;</t>
  </si>
  <si>
    <t>2 (Calinog, Dingle) highly suitable coffee municipality agri-inputs distributed</t>
  </si>
  <si>
    <t>No. of trainings conducted</t>
  </si>
  <si>
    <t>Vegetable Development Project</t>
  </si>
  <si>
    <t xml:space="preserve"> No. of agri-fishery inputs procured; No. of agri-fishery inputs procured and distributed; </t>
  </si>
  <si>
    <t xml:space="preserve">Top 5 lowland vegetable  producing municipality; Top 5 upland vegetable  producing municipality;  
</t>
  </si>
  <si>
    <t>Lowland- Leon, Alimodian, Dingle, Miagao, Lambunao
Upland-  Alimodian, Leon, Miagao, Tubungan, Lambunao</t>
  </si>
  <si>
    <t xml:space="preserve"> Other supplies GSO compliance AGR-25-619B); P.R for Agricultural supplies for delivery. No distribution of inputs due to cancelled P.R for agricultural supplies in 1st semester; payment on process for trainings</t>
  </si>
  <si>
    <t>1training conducted</t>
  </si>
  <si>
    <t>Livestock Training</t>
  </si>
  <si>
    <t>Strengthening of Livestock Stakeholders</t>
  </si>
  <si>
    <t>No. of Training conducted</t>
  </si>
  <si>
    <t xml:space="preserve">Atrium Mall, Days Hotel, Iloilo City
</t>
  </si>
  <si>
    <t>Days Hotel
Dreamers Valley</t>
  </si>
  <si>
    <t>General Fund 2025</t>
  </si>
  <si>
    <t>Jan. 25</t>
  </si>
  <si>
    <t>5 Training conducted</t>
  </si>
  <si>
    <t>268, 400. 00</t>
  </si>
  <si>
    <t>Payment on Process (134, 000.00)
Remaining Budget reverted amounting to 107, 600.00
179, 200.00 (budegt c/o Admin)</t>
  </si>
  <si>
    <t>Procure other equipment and materials for breeding centers</t>
  </si>
  <si>
    <t xml:space="preserve">Art Center Nanga, Pototan, Iloilo, and Western Visayas Goat Nucleus Farm, Concepcion
</t>
  </si>
  <si>
    <t>Chedmaryl Construction and Supplies</t>
  </si>
  <si>
    <t>bidding</t>
  </si>
  <si>
    <t>Gen fund</t>
  </si>
  <si>
    <t>12 (9 grasscutter and 3 ladders</t>
  </si>
  <si>
    <t>Rebid(Freezer &amp; Refrigerator) 110,208.00</t>
  </si>
  <si>
    <t>Capability of Development of seaweed and milkfish</t>
  </si>
  <si>
    <t>No. of Capacity Development conducted</t>
  </si>
  <si>
    <t>5 Capacity Development on Seaweed conducted</t>
  </si>
  <si>
    <t>Poblacion, Sandionisio</t>
  </si>
  <si>
    <t xml:space="preserve">Sealips Restaurant </t>
  </si>
  <si>
    <t>PAYMENT ON PROCESS amounting to Php 159,250</t>
  </si>
  <si>
    <t>3 Capacity Development on milkfish conducted</t>
  </si>
  <si>
    <t>Iloilo City</t>
  </si>
  <si>
    <t>Goldberry Lite Hotel</t>
  </si>
  <si>
    <t xml:space="preserve">Construction of 8 units Cattle Paddocks </t>
  </si>
  <si>
    <t>8  units of Cattle paddocks constructed</t>
  </si>
  <si>
    <t>Calamigan, Concepcion, Iloilo</t>
  </si>
  <si>
    <t>Prime K Builders</t>
  </si>
  <si>
    <t>20%NTA</t>
  </si>
  <si>
    <t>Aug. 27, 2025</t>
  </si>
  <si>
    <t>started of Contract August 27, 2025 (suspended)
with suspension order
Bid amount Php1,517,655.54</t>
  </si>
  <si>
    <t>Improvement of Perimeter Fence</t>
  </si>
  <si>
    <t>1 Perimeter Fence improved</t>
  </si>
  <si>
    <t>ART Center, Nanga, Pototan, Iloilo</t>
  </si>
  <si>
    <t>Vonter Construction Services</t>
  </si>
  <si>
    <t>Aug. 12, 2025</t>
  </si>
  <si>
    <t>On-going
Paid 15% mobilization
With time extension and variation order</t>
  </si>
  <si>
    <t>Land Improvement Project at Swine Complex</t>
  </si>
  <si>
    <t>1 Land Improvement Project at Swine Complex improved</t>
  </si>
  <si>
    <t>Sept. 27, 2025</t>
  </si>
  <si>
    <t>Bid amount Php2,952,815.66
On-going construction</t>
  </si>
  <si>
    <t>A. FISHERIES DEVELOPMENT PROGRAM</t>
  </si>
  <si>
    <t>2025 PPA's on going implementation</t>
  </si>
  <si>
    <t>1. Freshwater Aquaculture Project</t>
  </si>
  <si>
    <t>Operation and maintenance  of freshwater multi species hatchery for culture and breeding of tilapia and other freshwater species for dispersal as livelihood assistance to fisherfolks.</t>
  </si>
  <si>
    <t>1.1 Fingerling dispersal of freshwater species</t>
  </si>
  <si>
    <t>700,000 fingerlings dispersed</t>
  </si>
  <si>
    <t xml:space="preserve">Sara, Oton, Ajuy, Dumangas, Balasan, Janiuay, Tigbauan, Batad, Barotac Viejo, Dueñas, San Dionisio, Dingle, Barotac Nuevo, Concepcion, Leon, Lemery, Pototan, San Enrique, Lambunao, Estancia, Passi City, Banate, Badiangan, San Miguel, Leganes, 
</t>
  </si>
  <si>
    <t>Juantong Agri-Ventures Trading</t>
  </si>
  <si>
    <t>Gen Fund 2025</t>
  </si>
  <si>
    <t>Jan 2025</t>
  </si>
  <si>
    <t>Dec 2025</t>
  </si>
  <si>
    <t xml:space="preserve">952,000 fingerlings dispersed </t>
  </si>
  <si>
    <t>1.2 Development/Improvement of IFAPTC</t>
  </si>
  <si>
    <t># of ponds improved (HDPE liner)</t>
  </si>
  <si>
    <t>IFAPTC, ART Center, Nanga, Pototan</t>
  </si>
  <si>
    <t>3rd Dragon Builders Innovation</t>
  </si>
  <si>
    <t>Bid cost Php 1,498,320.00
On going Construction
With suspension order due to variation order</t>
  </si>
  <si>
    <t>1.3 acquisition of machinereis, equipment and furnitures</t>
  </si>
  <si>
    <t>29 machineries/equipment and furnitures procured but not limited to pumps, office furniture and equipment</t>
  </si>
  <si>
    <t xml:space="preserve">Juantong Agri-Ventures Trading
Iloilo YcaDale Trading </t>
  </si>
  <si>
    <t xml:space="preserve">FOR DELIVERY:                                                      
*AGR-25-1280- Php 35,600.00 (aerator pump for aquaculture, etc.)                                              
*AGR-25-1567- Php 98,000.00 (aircon,  etc.)    </t>
  </si>
  <si>
    <t>1.4 Technology demonstration</t>
  </si>
  <si>
    <t>5 techno-demo established</t>
  </si>
  <si>
    <t>Cabatuan-2 sites, San Enrique, Btc. Nuevo, Ajuy, Iloilo</t>
  </si>
  <si>
    <t>Juantong Agri-Venures Trading</t>
  </si>
  <si>
    <t xml:space="preserve">PAYMENT ON PROCESS :
AGR-25-607B - Php 27,157.70 (agri supplies)   
</t>
  </si>
  <si>
    <t>2. Coastal and Marine Resource Management Project</t>
  </si>
  <si>
    <t>Rehabilitation of coastal and marine resources through the expansion of Marine Protected Areas (MPAs)</t>
  </si>
  <si>
    <t>2.1 Habitat Protection, Restoration and Rehabilitation</t>
  </si>
  <si>
    <t>175 units artificial reefs deployed</t>
  </si>
  <si>
    <t>Sicogon Island, Carles</t>
  </si>
  <si>
    <t>Conquest Construction Supply and parts</t>
  </si>
  <si>
    <t xml:space="preserve"># of payaos deployed
</t>
  </si>
  <si>
    <t>Guimbal
San Joaquin
Tigbauan</t>
  </si>
  <si>
    <t>Juantong Agri-ventures, Inc.</t>
  </si>
  <si>
    <t>10 payaos deployed</t>
  </si>
  <si>
    <t>PAYMENT ON PROCESS amounting to PhP367, 320.64 currently in the GSO for signature in RIS</t>
  </si>
  <si>
    <t># of MPA improved</t>
  </si>
  <si>
    <t>Nasidman, Ajuy</t>
  </si>
  <si>
    <t>1 MPA Improved</t>
  </si>
  <si>
    <t># of scientific and technical equipment (SCUBA dive compressor) purchased</t>
  </si>
  <si>
    <t>Concepcion</t>
  </si>
  <si>
    <t>CEBU ERNBRI IMPORT INC.</t>
  </si>
  <si>
    <t>Gen Fund 2025 
(Supplemental Budget)</t>
  </si>
  <si>
    <t>1 scientific and technical equipment (SCUBA dive compressor) purchased</t>
  </si>
  <si>
    <t>PAYMENT ON PROCESS amounting to Php 441,908</t>
  </si>
  <si>
    <t>2.2 Stock enhancement</t>
  </si>
  <si>
    <t># of reseeding activities (blue swimming crab) conducted</t>
  </si>
  <si>
    <t>Sitio Looc, Brgy. Polopiña, Concepcion, Iloilo</t>
  </si>
  <si>
    <t xml:space="preserve">Iloilo New Agri-Industrial Marketing &amp; General Sevices </t>
  </si>
  <si>
    <t xml:space="preserve">bidding 
</t>
  </si>
  <si>
    <t>3 reseeding activities (blue swimming crab) conducted</t>
  </si>
  <si>
    <t>PAYMENT ON PROCESS amounting to Php 433,420</t>
  </si>
  <si>
    <t># of existing BSC hatchery maintained and improved</t>
  </si>
  <si>
    <t>BSC Hatchery, NISU Concepcion Campus</t>
  </si>
  <si>
    <t>1 existing BSC hatchery maintained and improved</t>
  </si>
  <si>
    <t xml:space="preserve">Bid  cost Php998,340.20
Completed on November 19, 2025
For Payment </t>
  </si>
  <si>
    <t>2026 PPA's To be implemented</t>
  </si>
  <si>
    <t xml:space="preserve">Operation and maintenance  of freshwater multi species hatchery for culture and breeding of tilapia and other freshwater species for dispersal as livelihood assistance to fisherfolks      
</t>
  </si>
  <si>
    <t>700,000 fingelings dispersed</t>
  </si>
  <si>
    <t># of machineries, equipment, furnitures, fixtures such as but not limited to pump, lab equipment, office equipment purchased</t>
  </si>
  <si>
    <t>1.3 Enhancement and development Freshwater Aquaculture Technologies</t>
  </si>
  <si>
    <t># of technologies enhanced or developed</t>
  </si>
  <si>
    <t>1.4 Establishment of Techmology Demnstration Areas/Sites for Freshwater Aquaculture</t>
  </si>
  <si>
    <t>2. Mariculture (Marine Aquaculture) Development Project</t>
  </si>
  <si>
    <t>Provide livelihood opportunities, increase marine production, and protect the environment through sustainable and responsible marine farming practices.</t>
  </si>
  <si>
    <t>2.1 Enhancement of the Shellfish Industry Project</t>
  </si>
  <si>
    <t>15 shellfish culture techno-demo established</t>
  </si>
  <si>
    <t>3. Coastal and marine Resource Management (CMRM)</t>
  </si>
  <si>
    <t>Rehabilitation of coastal and marine resourcees through enhancement of marine habitat and expansion of Marine Protected Area (MPAs)</t>
  </si>
  <si>
    <t>3.1 Coastal and marine habitat (coral reefs, seagrass &amp; fish) protection, restoration and rehabilitation</t>
  </si>
  <si>
    <t>100 of Artificial Reefs (ARs), payao's deployed and 3 MPAs improved</t>
  </si>
  <si>
    <t>3.2 Reseeding of blue swimming crab</t>
  </si>
  <si>
    <t>6 reseeding activities (blue swimming crab) conducted</t>
  </si>
  <si>
    <t>4. Fisheries Postharvest Promition and Development Project</t>
  </si>
  <si>
    <t>4.1 Livelihood support through provision of postharvest equipment</t>
  </si>
  <si>
    <t>No. of postharvet equipment provided</t>
  </si>
  <si>
    <t>B. CROPS DEVELOPMENT PROGRAM</t>
  </si>
  <si>
    <t xml:space="preserve">1. Corn Development Program
</t>
  </si>
  <si>
    <t>1.1 Establishment of SWC (SCoPSA)/ &amp; improvement and maintenance of existing corn terracing Terracing techno demo</t>
  </si>
  <si>
    <t>Establishment of techno demo on sustainable corn production in sloping areas (SCOPSA)/corn terracing showing environment friendly corn production technologies and maintenance of corn seed farm to produce and distribute good quality of seeds to farmers in Province of Iloilo</t>
  </si>
  <si>
    <t>3 sites of SCoPSA established, 2 sites Corn Terracing improved &amp; maintained</t>
  </si>
  <si>
    <t>Brgy. Batuan San Dionisio Iloilo, Rizal Barotac Viejo and San Jose Lemery Iloilo</t>
  </si>
  <si>
    <t>Iloilo New Agri Industrial Marketing and General Services, Inc</t>
  </si>
  <si>
    <t xml:space="preserve">Bidding </t>
  </si>
  <si>
    <t>Dec. 25</t>
  </si>
  <si>
    <t xml:space="preserve">Area validated for SCOPSA and Corn Seed Farm, not established  due to P.R for Agricultural supplies no bidder; 
P.R for Other supplies AGR-25-760B amounting to 59,274.00 GSO compliance
</t>
  </si>
  <si>
    <t>1.2. Establishment and maintenance of Corn seed Farm</t>
  </si>
  <si>
    <t>3 sites of corn seed farm established, 3 sites Corn seed farm maintained</t>
  </si>
  <si>
    <t xml:space="preserve">Poblacion Badiangan,Jayobo Lambuanao and Agutayan Sta. Barbara </t>
  </si>
  <si>
    <t>2. Organic Agriculture Development
 Project</t>
  </si>
  <si>
    <t xml:space="preserve">2.1 Procurement and distribution of vegetable seeds </t>
  </si>
  <si>
    <t>To distribute quality veegetable seeds to organic practioners in Province of Iloilo</t>
  </si>
  <si>
    <t>10 kg vegetable seeds procured and distributed to PGS certified organic practitioners</t>
  </si>
  <si>
    <t>Pototan, Cabatuan, Tubungan</t>
  </si>
  <si>
    <t>P.R for Agricultural Supplies On going delivery January 2026.</t>
  </si>
  <si>
    <t>3. Urban Agriculture/ Container Gardening Project</t>
  </si>
  <si>
    <t>3.1 Establishment of Techno-Demo on Urban Agriculture Container Gardening</t>
  </si>
  <si>
    <t>Provide multi-dimensional benefits especially jfood security for low income households, livelihood and training opportunities for men and women farmers, rural based organization. Enhance access to fresh vegetables. Reduces environmental impacts through the use of recycled materials and promote environment friendly practices and fodd safety</t>
  </si>
  <si>
    <t>2 sites container gardening established</t>
  </si>
  <si>
    <t>Cabatuan, and Badiangan, Iloilo</t>
  </si>
  <si>
    <t>RS AGRO INDUSTRIAL Corporation</t>
  </si>
  <si>
    <t>P.R for Agricultural Supplies GSO compliance 
Other supplies AGR-25-617-B amounting  120.065.00 (No bidder)</t>
  </si>
  <si>
    <t>4. Provincial Nursery</t>
  </si>
  <si>
    <t>4.1 Production and distribution of fruit tree seedlings</t>
  </si>
  <si>
    <t>To produce and distribute quality fruit tree seedlings in the Province of Iloilo</t>
  </si>
  <si>
    <t>12,000 fruit tree seedlings produced and distributed</t>
  </si>
  <si>
    <t>Production-16,065
Distributed-19,368</t>
  </si>
  <si>
    <t>2nd sem P.R for  other supplies  on going delivery; 2024 inputs used utilized to produce seedlings
P.R for Agricultural supplies no bidder</t>
  </si>
  <si>
    <t>5. Crop Protection Project</t>
  </si>
  <si>
    <t xml:space="preserve">5.1 Production and Distribution of Bio-control agents </t>
  </si>
  <si>
    <t>To control of pests and diseases through provision of bio-control agents and pesticides and pests and diseases.</t>
  </si>
  <si>
    <t>5,000 trichogramma strips and 1,500 pcs. Earwigs produced and distributed</t>
  </si>
  <si>
    <t>La Granja, Lapaz, Iloilo City</t>
  </si>
  <si>
    <t>Trichogramma
Produced-7925
distributed-3,980
Earwigs
Produced-2,165
Distributed-1,500</t>
  </si>
  <si>
    <t>2nd sem P.R for  other supplies on going delivery: distributed to 9 farmers 
P.R for Agricultural supplies no bidder</t>
  </si>
  <si>
    <t>5.2 Procurement and Distribution of Pesticides</t>
  </si>
  <si>
    <t>50 li/kg pesticides procured/distributed</t>
  </si>
  <si>
    <t xml:space="preserve">1. Corn Development Project
</t>
  </si>
  <si>
    <t>3 sites of SCoPSA established, 3 sites Corn Terracing improved &amp; maintained</t>
  </si>
  <si>
    <t>450.000.00</t>
  </si>
  <si>
    <t>Jan. 26</t>
  </si>
  <si>
    <t>Dec. 26</t>
  </si>
  <si>
    <t>2.1 Procurement and distribution of  Agri-inputs</t>
  </si>
  <si>
    <t xml:space="preserve">5 organic agriculture associations provided with agri inputs </t>
  </si>
  <si>
    <t>300.000.00</t>
  </si>
  <si>
    <t xml:space="preserve">3.1 Establishment of Techno-Demo on Urban Agriculture Container Gardening                                </t>
  </si>
  <si>
    <t>Provide multi-dimensional benefits especially food security for low income households, livelihood and training opportunities for men and women farmers, rural based organization. Enhance access to fresh vegetables. Reduces environmental impacts through the use of recycled materials and promote environment friendly practices and food safety</t>
  </si>
  <si>
    <t xml:space="preserve">1 sites container gardening established           
</t>
  </si>
  <si>
    <t xml:space="preserve"> 3.2 Improvement and Maintenance  of existing Container gardeing </t>
  </si>
  <si>
    <t>No. of existing container garden improved and maintained</t>
  </si>
  <si>
    <t>200.000.00</t>
  </si>
  <si>
    <t>3,000 trichogramma strips and 1,500 pcs. Earwigs produced and distributed</t>
  </si>
  <si>
    <t>C. HIGH VALUE CROPS DEVELOPMENT PROGRAM</t>
  </si>
  <si>
    <t xml:space="preserve">1. Coffee Development Project
</t>
  </si>
  <si>
    <t>1.1 Procurement of coffee seeds and other agri supplies and distribution of coffee seedlings</t>
  </si>
  <si>
    <t>Establishment of high value crops production and expansion for coffee in Province of Iloilo</t>
  </si>
  <si>
    <t>7,000 coffee seedlings produced and distributed, 5 has. For coffee area expanded</t>
  </si>
  <si>
    <t>Tubungan, Janiuay, Leon, Iloilo</t>
  </si>
  <si>
    <t>Iloilo New Agri Industrial Marketing and General Services, Inc and Juantong Agri Ventures Incorporated</t>
  </si>
  <si>
    <t>8,200-distributed
8.2 ha- area expansion</t>
  </si>
  <si>
    <t>P.R for other supplies on going delivery; 2024 inputs used utilized to produce seedlings; 9, 577-produced
 Agricultural  supplies no bidder</t>
  </si>
  <si>
    <t xml:space="preserve">2. Cacao Development Project </t>
  </si>
  <si>
    <t>2.1 Procurement of cacao seeds and other agri supplies and distribution of cacao seedlings</t>
  </si>
  <si>
    <t>Establishment of high value crops production and expansion for cacao in Province of Iloilo</t>
  </si>
  <si>
    <t>8,000 cacao seedlings procured and distributed, 8 has. For cacao areas expanded</t>
  </si>
  <si>
    <t>Badiangan, Calinog, Balasan, Btac. Viejo, Tubungan, Iloilo</t>
  </si>
  <si>
    <t>12,500-distributed
12.5 ha- area expansion</t>
  </si>
  <si>
    <t>P.R for other supplies AGR-25-760B payment on process;2024 inputs used utilized to produce seedlings; 10,500-produced
P.R for Agricultural supplies no bidder</t>
  </si>
  <si>
    <t>D LIVESTOCK AND POULTRY DEVELOPMENT PROGRAM</t>
  </si>
  <si>
    <t>2023 PPA's on going implementation</t>
  </si>
  <si>
    <t>2.Maintenance and Improvement of Breeding Centers/Stations</t>
  </si>
  <si>
    <t>2.1. Feeds &amp; Veterinary Supplies</t>
  </si>
  <si>
    <t>5 Breeding/AI Centers, 1 Breeding Station,1 Goat Nucleus Farm maintained and improved to support the conduct of Artificial Insemination and production of breeders as genetic tools for the improvement and production of quality livestock</t>
  </si>
  <si>
    <t>Bags of feeds and veterinary procured</t>
  </si>
  <si>
    <t xml:space="preserve">Miagao ABC, Aleosan AIC, Cabatauan AIC, Concepcion ABC, Btac. Nuevo ABC, Lambunao Breeding Station and Western Visayas Goat Nucleus Farm </t>
  </si>
  <si>
    <t>RS AGRO INDUSTRIAL</t>
  </si>
  <si>
    <t>Public Bidding</t>
  </si>
  <si>
    <t>General Fund 2023</t>
  </si>
  <si>
    <t>January 2023</t>
  </si>
  <si>
    <t>December 2023</t>
  </si>
  <si>
    <t>227 BOTTLE OF DIFFERENT BIOLOGIS DELIVERED</t>
  </si>
  <si>
    <t xml:space="preserve">Biologics- Payment on Process amounting to 279,211.00 need for Compliance of Supplier (Certificate of product registration) 
Remaining Budget reverted amounting 308,614.00 </t>
  </si>
  <si>
    <t>3. Purchase of Feeds, Animal/Zoological Supplies</t>
  </si>
  <si>
    <t>Breeding Centers/Stations &amp; Farm maintained and improved to support the conduct of Artificial Insemination for the production of quality Swine.</t>
  </si>
  <si>
    <t># of bags of feeds and veterinary supplies procured, # of piglets produced</t>
  </si>
  <si>
    <t>ART Center Nana Pototan and Western Visayas Goat Nucleus Farm, Concepcion</t>
  </si>
  <si>
    <t>Orchard Valley
Juantong</t>
  </si>
  <si>
    <t>January 2025</t>
  </si>
  <si>
    <t>December 2025</t>
  </si>
  <si>
    <t>84 Feeds Delivered
60 Feeds Delivered</t>
  </si>
  <si>
    <t>Feeds: Paid amounting to 214,058.00
Feeds:  Payment on process amounting to 436,770.00 for signature of RIS at GSO.
Remaining Budget reverted amounting 1,978,972.00</t>
  </si>
  <si>
    <t>4. 30 sow level farm production farm</t>
  </si>
  <si>
    <t>7. Maintenance, Upgrading and Acquisition of Agricultural/Scientific Equipment’s, Support Vehicles, Facilities and Other Supplies</t>
  </si>
  <si>
    <t>7.1 Purchase of other supplies (liquid nitrogen, but not limited to drum, etc.)</t>
  </si>
  <si>
    <t>Purchase of other supplies (liquid nitrogen but not limited to drum, etc.) for AI of Large Ruminants.</t>
  </si>
  <si>
    <t># of other supplies ( liquid nitrogen, etc) procured</t>
  </si>
  <si>
    <t xml:space="preserve"> PCC</t>
  </si>
  <si>
    <t>12 LN2 Delivered</t>
  </si>
  <si>
    <t>Other Supplies: Rebid 572,511.00
Liquid Nitrogen:  Payment on process amounting to
60,000.00
Remaining Budget reverted amounting 987,000.00</t>
  </si>
  <si>
    <t>8. Procurement of agricultural equipment, technical &amp; scientific equipment and information communication.</t>
  </si>
  <si>
    <t>1 water bath, 1 AI refrigerator, 1 microscope with monitor</t>
  </si>
  <si>
    <t>Budget reverted amounting 129,000.00</t>
  </si>
  <si>
    <t>9. Forage and Pasture Development</t>
  </si>
  <si>
    <t>9.1 Establishment of corn area as feed supply for livestock</t>
  </si>
  <si>
    <t>Establishment of pasture and forage areas as feed supply for livestock</t>
  </si>
  <si>
    <t>.5 ha area established</t>
  </si>
  <si>
    <t>WVGNF, Calamigan Concepcion</t>
  </si>
  <si>
    <t>Iloilo New Agri</t>
  </si>
  <si>
    <t>1ha area establsihed</t>
  </si>
  <si>
    <t>Payment on process amounting to 21,120. 00
Remaining Budget reverted amounting 6,880.00</t>
  </si>
  <si>
    <t>1.Livestock Waste Management Project</t>
  </si>
  <si>
    <t>1.1 Provision and installation of bio-gas materials</t>
  </si>
  <si>
    <t>Converting animal waste into usable energy using Tubular Polyethelene Digester (TPED) technology to minimize the effect of pollution</t>
  </si>
  <si>
    <t>No. of units of bio-gas installed</t>
  </si>
  <si>
    <t>General Fund 2026</t>
  </si>
  <si>
    <t>2. Maintenance and Improvement of Breeding Center/Demo Farms</t>
  </si>
  <si>
    <t>2.1 Purchase of Feeds, Animal/Zoological Supplies</t>
  </si>
  <si>
    <t>No. of bags of feeds and veterinary supplies procured</t>
  </si>
  <si>
    <t>3. Maintenance, Upgrading and Acquisition of Agricultural/Scientific Equipment’s, Support Vehicles, Facilities and Other Supplies</t>
  </si>
  <si>
    <t>For Artificial Insemination services of large ruminant</t>
  </si>
  <si>
    <t>3.1 Purchase of other supplies (liquid nitrogen, but not limited to drum, etc.)</t>
  </si>
  <si>
    <t>No. of supplies ( liquid nitrogen, etc) procured</t>
  </si>
  <si>
    <t>4. Forage and Pasture Development Project</t>
  </si>
  <si>
    <t>4.1 Establishment of pasture and forage for livestock</t>
  </si>
  <si>
    <t>No. of Fertilizer procured, no. of bags/sack of seeds procured, 1 vacuum sealer, 2 vacuum sealer procured</t>
  </si>
  <si>
    <t xml:space="preserve">  </t>
  </si>
  <si>
    <t>E. INSTITUTIONAL DEVELOPMENT PROGRAM</t>
  </si>
  <si>
    <t>A. Revitalization and Organization of Rural Based Organization</t>
  </si>
  <si>
    <t xml:space="preserve">Organization, strengthening and capacitate Rural Based Organizations, fisherfolks and AEWs in project implementation and management and recognition of farmeers/fisherfolks achievement.  </t>
  </si>
  <si>
    <t>4 activities conducted (2 Achievement Day, FFW, Provincial RIC Green Day</t>
  </si>
  <si>
    <t>1. Provincial RIC Grren Day-Lambunao, Iloilo
2. Provincial 4H Club Achievement Day-Pototan, Iloilo
3. Provincial Farmers and Fisherfolks Week-Iloilo City and Passi City
4. Provincial RIC Achievement Day-Iloilo City</t>
  </si>
  <si>
    <t>Dreamer's Valley/ PACEMCO</t>
  </si>
  <si>
    <t>N/P. Ordering Agreement</t>
  </si>
  <si>
    <t>Gen fund 2025</t>
  </si>
  <si>
    <t>1 Provincial RIC Green Day, FFW, 4H Club and RIC Achievement Day Conducted</t>
  </si>
  <si>
    <t>Payment on Process amounting to Php1,800,500.00</t>
  </si>
  <si>
    <t>B. Capability Development of Farmers, RBOs, fisherfolk, 4H, RIC, and Agricultural Extension Workers (AEWs)</t>
  </si>
  <si>
    <t xml:space="preserve">Enhanced  capabilitdevelopment of RBOs,  farmers, fisherfolks &amp; AEWs </t>
  </si>
  <si>
    <t xml:space="preserve">33 Meetings, 6 Training, 1 year end assessment </t>
  </si>
  <si>
    <t>Dremer's Valley Camp. Brgy. Buenavista, Tigbauan, Iloilo, DRRM Conference Room, DARFO VI, Iloilo City, Eco Park, Poblacion, Mina
Training Hall, Municipal Agriculture Office, Poblacion, Janiuay
Covered Gym, Poblacion, New Lucena
5J and A Hotel, Poblacion, Estancia
J &amp; P Cantina, Gen. Hughes St, Iloilo City Proper</t>
  </si>
  <si>
    <t>Dreamer's Valley, and J and P Cantina</t>
  </si>
  <si>
    <t>33 meetings
7 Trainings
1 year end assessment conducted</t>
  </si>
  <si>
    <t>Payment on process amounting to 440,250.00</t>
  </si>
  <si>
    <t>A. Revitalization and Organization of Rural Based Organization (RBOs), 4H Clubs, RIC P4MP, Farmers Association</t>
  </si>
  <si>
    <t xml:space="preserve">Organization, strengthening and capacitate Rural Based Organizations, fisherfolks and AEWs in project implementation and management and recognition of farmers/fisherfolks achievement.  </t>
  </si>
  <si>
    <t>4 activities conducted</t>
  </si>
  <si>
    <t>Gen fund 2026</t>
  </si>
  <si>
    <t>40 Cap. Dev</t>
  </si>
  <si>
    <t>F. AGRIBUSINESS DEVELOPMENT PROGRAM</t>
  </si>
  <si>
    <t>1. Improvement of Pasalubong center, ART Center, Nanga, Pototan, Iloilo</t>
  </si>
  <si>
    <t>1.1 Trade Fair-provides on farm information, technology services and showcasing farm products of farmers and fisherfolks</t>
  </si>
  <si>
    <t>Provides on farm information, technology services and showcasing farm products of farmers and fisherfolk thru trade fairs.</t>
  </si>
  <si>
    <t>2 Trade Fair conducted</t>
  </si>
  <si>
    <t>Iloilo Provincial Capitol</t>
  </si>
  <si>
    <t>UNI-ART Supply INC.
CYBERLINK</t>
  </si>
  <si>
    <t>NP</t>
  </si>
  <si>
    <t>Gen. Fund 2025</t>
  </si>
  <si>
    <t>2 Trade Fair Conducted</t>
  </si>
  <si>
    <t xml:space="preserve">PR Status: Other MOOE and Other supplies and Material Expense ( Outdoor Tent, table and Monoblock Chair) Delivered-payment on process amounting to 53,700.00 for Voucher preparation.
Office Supplies Expenses (Desktop computer set with printer, Laptop Computer, and CPU) Delivered amounting to 106, 720.00- forwarded to legal for checking od documents to COA.
</t>
  </si>
  <si>
    <t>2. PRDP- IREAP Projects</t>
  </si>
  <si>
    <t>Designed to address national goals of inclusive growth, job creation and poverty reduction by improving access of farmers/fisherfolk and other industry players to livelihood, infrastructure and other support services.</t>
  </si>
  <si>
    <t>1 PRDP Project Implemented</t>
  </si>
  <si>
    <t>Oton and Tigbauan, Iloilo</t>
  </si>
  <si>
    <t>Green Eco- Solution and Resources Incorporated</t>
  </si>
  <si>
    <t>1.) 30 gilts and 1boar to be delivered on January 2026 amounting to  2,124,128.00
2.) Feeds delivery suspended due to the non delivery of breeder stock. 
3.). Biologics failure of bidding</t>
  </si>
  <si>
    <t xml:space="preserve">1. Trade Fair </t>
  </si>
  <si>
    <t>Gen. Fund 2026</t>
  </si>
  <si>
    <t>2. Improvement and maintenace of pasalubong center</t>
  </si>
  <si>
    <t>No. of equipment and materials purchased</t>
  </si>
  <si>
    <t>3. PRDP- IREAP Projects</t>
  </si>
  <si>
    <t>Support to PRDP ( Philppines Rural for Development Project)</t>
  </si>
  <si>
    <t>No. of enterprise assisted/funded</t>
  </si>
  <si>
    <t>G. AGRICULTURAL AND BIOSYSTEM ENGINEERING DEVELOPMENT PROGRAM</t>
  </si>
  <si>
    <t>2022 PPA's on going implementation</t>
  </si>
  <si>
    <t>Agri-Fishery Infrastructure and Other Structure</t>
  </si>
  <si>
    <t>Construction of 3 units Flatbed Dryer</t>
  </si>
  <si>
    <t>3 Flatbed Dryer constructed</t>
  </si>
  <si>
    <t>Barasan, Dumangas
Linay-uan, Badiangan
Cabantuan, Lemery</t>
  </si>
  <si>
    <t>3R Metal Craft</t>
  </si>
  <si>
    <t>Nov. 2024</t>
  </si>
  <si>
    <t>Feb. 2025</t>
  </si>
  <si>
    <t xml:space="preserve">For Payment Php2, 790, 751.67
</t>
  </si>
  <si>
    <t>2023 PPAs' on going implementation</t>
  </si>
  <si>
    <t>Road Networks</t>
  </si>
  <si>
    <t>Road Networks (Farm to Market Road)</t>
  </si>
  <si>
    <t>No. of Farm to Market Road Constructed</t>
  </si>
  <si>
    <t>Province Wide</t>
  </si>
  <si>
    <t>Abelarde Construction and Supply</t>
  </si>
  <si>
    <t>Jan. 29, 2025</t>
  </si>
  <si>
    <t>2, 794,817.05</t>
  </si>
  <si>
    <t xml:space="preserve">On going Construction
Brgy. Aguingay, Jnaiuay, Iloilo
Barangay Validated:
1. Brgy. Bagacay, Pototan, Iloilo
2. Brgy. Danao, Pototan, Iloilo
3. Brgy. Bangkal, Tigbauan, Iloilo
4. Brgy. Bitas, Tigbauan, Iloilo
5. Brgy. Jamul-awon, Concepcion, Iloilo
6. Brgy. Lo-ong, Concepcion, Iloilo
 To survey with PEO Personnel
1. Brgy. Quipot, Janiuay, Iloilo
2.. Brgy. Tambal, Janiuay, Iloilo
3. Brgy. Damagi, Maasin, Iloilo
4. Brgy. Pispis Maasin, Iloilo
5. Brgy. De La Paz, Banate, Iloilo
6. Brgy. Bingauan, Badiangan, Iloilo
7. Brgy. Lay-ahan, Pototan, Iloilo
8. Brgy. Cawayan and Nalumsan, Carles 
9. Brgy. Quipot, Janiuay, Iloilo
10. Brgy. Lo-ong, Concepcion, Iloilo
</t>
  </si>
  <si>
    <t>Construction/Improvement of Small Scale Irrigation Project (SSIP)</t>
  </si>
  <si>
    <t>Construction/improvement of Diversion Dam, Check Dam and Pump Irrigation Project</t>
  </si>
  <si>
    <t>No. of Diversion Dam, Check Dam and Pump Irrigation Project constructed/improved</t>
  </si>
  <si>
    <t>Brgy. Amerang, Maasin, Iloilo</t>
  </si>
  <si>
    <t>Nov. 2023</t>
  </si>
  <si>
    <t>15% Mobilization
22,541.30
85.05% 969.035.96</t>
  </si>
  <si>
    <t>Project suspended regarding with the resettlement issues with the heirs</t>
  </si>
  <si>
    <t>3 lots construction of Rice Mill with Building</t>
  </si>
  <si>
    <t>1 lot Rice Mill Constructed</t>
  </si>
  <si>
    <t>Brgy. Banbanan, Miag-ao, Iloilo</t>
  </si>
  <si>
    <t>Supplemental Budget No. 1</t>
  </si>
  <si>
    <t>Oct. 21, 2025</t>
  </si>
  <si>
    <t>35.17% On going construction</t>
  </si>
  <si>
    <t>Re program and Pe- PR due to increase of materials and machinery in the amount of 3,014,366.36</t>
  </si>
  <si>
    <t>Brgy. San Jose, Miag-ao, Iloilo</t>
  </si>
  <si>
    <t>Prime K Builders Corporation</t>
  </si>
  <si>
    <t>Oct. 10, 2025</t>
  </si>
  <si>
    <t>1 lot Rice Mill Constructed (100%)</t>
  </si>
  <si>
    <t>15% Mobilization 89, 628.27</t>
  </si>
  <si>
    <t>Re-program and re-PR due to increase of materials and machinery in the amount of Php 600,000.00
 completed (construction)
Payment on Process</t>
  </si>
  <si>
    <t>Brgy. Wayang, Miag-ao, Iloilo</t>
  </si>
  <si>
    <t>Nov. 9, 2025</t>
  </si>
  <si>
    <t>15% Mobilization 213, 550.75</t>
  </si>
  <si>
    <t>Re-program and re-PR due to increase of materials and machinery in the amount of Php 1,393,325.00
completed (construction)
On going process of final payment</t>
  </si>
  <si>
    <t>1. Agri- Fishery Repair and Maintenance</t>
  </si>
  <si>
    <t>1.1 Infrastructure Assets</t>
  </si>
  <si>
    <t>Repair and maintained of Infrastruccture Assets</t>
  </si>
  <si>
    <t>No. of Infrastructur Assets repaired and maintained</t>
  </si>
  <si>
    <t>PAgrO Facilities</t>
  </si>
  <si>
    <t>There were no repairs or maintenance conducted on infrastructure assets.</t>
  </si>
  <si>
    <t>1.2 Machinery and Equipment</t>
  </si>
  <si>
    <t>Repair and maintenance of Machinery and Equipment</t>
  </si>
  <si>
    <t>No. of machinery and equipment repaired and maintained</t>
  </si>
  <si>
    <t>By Admin</t>
  </si>
  <si>
    <t>5 Repair and Maintenance of Machinery and Equipment</t>
  </si>
  <si>
    <t>1.3 Building and Other Structures</t>
  </si>
  <si>
    <t>Repair and maintained Building and other structures</t>
  </si>
  <si>
    <t>No. of Building and other structures repaired and maintained</t>
  </si>
  <si>
    <t>No repairs and maintenance of buildings and other structures were undertaken.</t>
  </si>
  <si>
    <t>1.5 Water Supply System</t>
  </si>
  <si>
    <t xml:space="preserve">Constructed/Improved Water Supply System </t>
  </si>
  <si>
    <t>No. lots of Constructed/improved Water Supply System</t>
  </si>
  <si>
    <t>Barangay Ubang, Pototan, Iloilo</t>
  </si>
  <si>
    <t>Bid amount Php 976, 383.52
For Suspension because the water level in the creek is hig, making it impossible to commence construction</t>
  </si>
  <si>
    <t>1.7 Power Supply Renewable Energy</t>
  </si>
  <si>
    <t>Construction/improved of Power Supply System (Renewable Energy)</t>
  </si>
  <si>
    <t xml:space="preserve">1 lot Power Supply System(renewable energy) - Photovoltaic Constructed/improved </t>
  </si>
  <si>
    <t>ART Center, Nanga Pototan, Iloilo</t>
  </si>
  <si>
    <t>Benzen Construction</t>
  </si>
  <si>
    <t>Bid amount Php 5,500,000.00
On going Construction</t>
  </si>
  <si>
    <t>2026 PPA's  To be implemented</t>
  </si>
  <si>
    <t>1. Water Resource Management Technology Support Services Project</t>
  </si>
  <si>
    <t>1.1 Construction/ Installation/ Improvement of Irrigation Facilities</t>
  </si>
  <si>
    <t>Construction and Improvement of Irrigation facilities in support to agri-fishery projects.</t>
  </si>
  <si>
    <t>10 Units small farm reservoir, 4 lots small scale iriigation project/solar pump irrigation system/ water supply system</t>
  </si>
  <si>
    <t>2. Agricultural and Fisheries Machinery Support Services Project</t>
  </si>
  <si>
    <t>2.1 Provision/ Distribution of Agri-fishery machineries/ equipment/implements and the like</t>
  </si>
  <si>
    <t>Distribution of agri-fishery machineries equipment implements, other machinery and the like  to increse production.</t>
  </si>
  <si>
    <t>1 unit of combine harvester, 1 unit four wheel tractor w/ dozzer and backhoe, 1 unit rice mill, 5 units rice thresher, 15 ubits handtractor, 2 units forage chopper</t>
  </si>
  <si>
    <t>NTA 20%</t>
  </si>
  <si>
    <t>Dec.2026</t>
  </si>
  <si>
    <t>1 unit generator set for blue swimming crab hatchery, 50 units solar powered irrigation pump</t>
  </si>
  <si>
    <t>2.2 Operation, Maintenance and repair of agri-fishery machineries/ equipment/ implements and the like</t>
  </si>
  <si>
    <t xml:space="preserve">  To repair and maintain agri-fishery  machinery and equipment.</t>
  </si>
  <si>
    <t>Machinery and Equipment Repaired</t>
  </si>
  <si>
    <t>3. Agri Fishery and Other Infrastructure Support Services Project</t>
  </si>
  <si>
    <t>Construction and Repair of Agri-fishery infrastructure and the like.</t>
  </si>
  <si>
    <t>3.1 Construction/ Improvement/ Establishment of Agri-Fishery Infrstructure</t>
  </si>
  <si>
    <t xml:space="preserve">1 lot power supply system (Phase III) </t>
  </si>
  <si>
    <t>1 lot of  Warehouse, 1 Village Warehouse Constructed</t>
  </si>
  <si>
    <t>San Rafael, Iloilo
Concepcion, Iloilo</t>
  </si>
  <si>
    <t>Building and other structure repaired</t>
  </si>
  <si>
    <t>Gen . Fund</t>
  </si>
  <si>
    <t>H. AGRI-FISHERY CLIMATE RESILIENCE PROGRAM</t>
  </si>
  <si>
    <t>2025 PPA's On going implementation</t>
  </si>
  <si>
    <t>1. Establishment of Integrated Farming system (PALAYAMANAN Model) Project</t>
  </si>
  <si>
    <t>Establishment of IntegratedFarming System (IFS) Palayamanan Model Projects of farmers Association and rural Improvement Club in the Province of Iloilo</t>
  </si>
  <si>
    <t>3 IFS established</t>
  </si>
  <si>
    <t>Batad, Zarraga, Balasan, Iloilo</t>
  </si>
  <si>
    <t>Iloilo New Agri Industrial Marketing and General Services</t>
  </si>
  <si>
    <t>Delay on the establishment due to procurement process (supplies delivered last Dec. 16, 2025)</t>
  </si>
  <si>
    <t>2. Conduct of Climate Field School (CFS)</t>
  </si>
  <si>
    <t>Conducted activities for the implementation of Climate Field School</t>
  </si>
  <si>
    <t>3 Climate Field School conducted</t>
  </si>
  <si>
    <t>Pototan, San Enrique and San Rafael</t>
  </si>
  <si>
    <t>Iloilo Ycadale Trading</t>
  </si>
  <si>
    <t>2 (San Rafael, San Enrique)</t>
  </si>
  <si>
    <t>On-going conduct of CFS class. Training supplies delivered: Agricultural supplies counterpart by LGUs
Agricultural supplies no bidder</t>
  </si>
  <si>
    <t>Conduct activities for the implementation of Climate Field School</t>
  </si>
  <si>
    <t>I. AGRI-AQUA RESOURCE AND TECHNOLOGY CENTER DEVELOPMENT PROGRAM</t>
  </si>
  <si>
    <t>2020 PPA's On-going Implementation</t>
  </si>
  <si>
    <t>1. Construction, Improvement, rehabilitation and Repair of Facilities and Other Infrastructure components of ART Center</t>
  </si>
  <si>
    <t>Construction of Multi-Purpose Building</t>
  </si>
  <si>
    <t>1 lot Multi-Purpose Building constructed</t>
  </si>
  <si>
    <t>AXL builders nad Construction Supplies, Inc.</t>
  </si>
  <si>
    <t xml:space="preserve">Supplemental Budget No. 4
 20% IRA Development projects CY 2020 
</t>
  </si>
  <si>
    <t>Feb. 2024</t>
  </si>
  <si>
    <t>Total projects Cost 14,545,735.90 
Additional Budget Php 9,900,000.00 from 20%NTA 2022
For termination</t>
  </si>
  <si>
    <t>Maintenance and Improvement of  Livestock Demo Project</t>
  </si>
  <si>
    <t>Livestock Demo Projects (Cattle, Swine, Goats and Poultry) Maintained and improved as show window for livestock production and training ground for livestock framers and student in agriculture</t>
  </si>
  <si>
    <t>Breeding Center Repaired/Renovated</t>
  </si>
  <si>
    <t>Chedmaryl Construction &amp; Supplies</t>
  </si>
  <si>
    <t>General Fund 2020</t>
  </si>
  <si>
    <t>Jan. 2020</t>
  </si>
  <si>
    <t>Dec. 2020</t>
  </si>
  <si>
    <t>None Submission of supporting documents needed for payment at GSO since 2020</t>
  </si>
  <si>
    <t>2022 PPA's On-going Implementation</t>
  </si>
  <si>
    <t>2.5 Construction of bahay Kubo</t>
  </si>
  <si>
    <t>1 unit Bhay Kubo constructed</t>
  </si>
  <si>
    <t>150,000.00 (capital outlay)</t>
  </si>
  <si>
    <t>Jan. 2022</t>
  </si>
  <si>
    <t>Dec. 2022</t>
  </si>
  <si>
    <t xml:space="preserve">For DED Preparation
</t>
  </si>
  <si>
    <t>2024 PPA's On going implementation</t>
  </si>
  <si>
    <t>1. Building</t>
  </si>
  <si>
    <t>Building Constructed</t>
  </si>
  <si>
    <t>No. of Warehouse ( Drying/MillingStorage) No. of Artificial Insemination Building</t>
  </si>
  <si>
    <t>Oting Construction and Supply</t>
  </si>
  <si>
    <t>Oct. 28, 2024</t>
  </si>
  <si>
    <t>On going Construction</t>
  </si>
  <si>
    <t>2025 PPA's  On going implementation</t>
  </si>
  <si>
    <t>1. Crops Demo Farm Project</t>
  </si>
  <si>
    <t>1.1 Improvement/maintenance of Demo Farm for Organic Integrated Farming System at ART Center, Nanga, Pototan, Iloilo</t>
  </si>
  <si>
    <t>To showcase different technology on agricultural crops as a learning site in the Province of Iloilo</t>
  </si>
  <si>
    <t>1 demo farm for organic farming system improved and maintained</t>
  </si>
  <si>
    <t>1 demo farm for organic farming system improved/ maintained</t>
  </si>
  <si>
    <t>1st sem. Other supplies delivered Aug. 19, 2025 ARG-25-760B amounting to 39,550.00
2nd sem. PR for agricultural supplies delivered Nov.10, 2025 amounting to 310,430.00
Remaining agricultural supplies for 2nd sem delivered Jan. 9, 2026 amounting to 209,960.00; All POs are for GSO compliance</t>
  </si>
  <si>
    <t>Organic Fertilizer and concoctions production</t>
  </si>
  <si>
    <t>1,100 liters of NFS Concoctions and 2,200 kg. of vermicast</t>
  </si>
  <si>
    <t>1,833 liters NFS Concoctions produced; 3,600 kg vermicast produced</t>
  </si>
  <si>
    <t>Establishment of vegetable/crops</t>
  </si>
  <si>
    <t>6 kinds of vegetable crops established</t>
  </si>
  <si>
    <t>6 kinds of vegetables (herbs, spices,leafy, root, leguminous vegetable)</t>
  </si>
  <si>
    <t>Expansion of Banana Area</t>
  </si>
  <si>
    <t>5 has. Banana area expanded</t>
  </si>
  <si>
    <t xml:space="preserve">Balasan 2.5ha, 
Pototan0.5ha, 
Tigbauan 0.1ha, Concepcion0.1ha
Zarraga 0.1 ha </t>
  </si>
  <si>
    <t xml:space="preserve">3.3 has banana area expanded </t>
  </si>
  <si>
    <t>1.2 improvement and maintenance of vegetable production area</t>
  </si>
  <si>
    <t>5 kinds of vegetable produced, 5 kg. assorted vegetable produced and distributed, 1 site provincial seedbank improved and  maintained, 1 unit small scale hydroponics improved and maintained</t>
  </si>
  <si>
    <t>1.8 kg kinds vegetable
2.5 kg assorted vegetable
1 site provincial seedbank
1 unit small scale hydroponics</t>
  </si>
  <si>
    <t>On going delivery of agri inputs and other supplies</t>
  </si>
  <si>
    <t>1.3 Improvement and maintenance of MoRProGRes Garden</t>
  </si>
  <si>
    <t>To showcase MoRProGRes Garden</t>
  </si>
  <si>
    <t xml:space="preserve">1 edible landscaping established; container garden maintained; 10 kinds of ornamental crops propagated </t>
  </si>
  <si>
    <t>2 edible landscaping established, container garden maintained; 10 kinds of ornamental crops propagated</t>
  </si>
  <si>
    <t>1st sem other supplies for payment; 
2nd Sem Other Supplies- On going Delivery 
2nd sem. Agricultural supplies On going  delivery; 
 ( 1site in ART Center &amp; 1 site in Batad, Iloilo in collaboration with PDRRMO convergence project)</t>
  </si>
  <si>
    <t>1.4 Establishment and maintenance of Cassava Demo Farm</t>
  </si>
  <si>
    <t>Showcasing cassava demo farm at ART Center, Nanga, Pototan, Iloilo</t>
  </si>
  <si>
    <t>1,000 sq.m. cassava demo farm established and maintained</t>
  </si>
  <si>
    <t>1200 sq.m. cassava demo farm established</t>
  </si>
  <si>
    <t>P.R for agricultural supplies GSO compliance AGR-25-1061-B</t>
  </si>
  <si>
    <t>1.5 Maintenance of Mother Mango trees and production of mango fruits</t>
  </si>
  <si>
    <t>Showcasing mango fruit production technology</t>
  </si>
  <si>
    <t>54 mango mother trees maintained and no. of kg. mango fruits produced</t>
  </si>
  <si>
    <t>54 mango tress maintained and 500 kg. mango fruits produced</t>
  </si>
  <si>
    <t>1st semester other supplies delivered last August 19, 2025 (AGR-25-760B); Utlized 2024 inputs
Payment on process (G.S.O compliance); P.R for Agricultural Supplies (AGR-25-1087B) no bidder </t>
  </si>
  <si>
    <t>1.6 Establishment of mango demo on fruit production technology</t>
  </si>
  <si>
    <t>2 sites established</t>
  </si>
  <si>
    <t>Concepcion and Sara</t>
  </si>
  <si>
    <t>1. Art Center Development Projects</t>
  </si>
  <si>
    <t>2. Crops Demo Farm Project</t>
  </si>
  <si>
    <t>2.1 Improvement/maintenance of Demo Farm for Organic Integrated Farming System at ART Center, Nanga, Pototan, Iloilo</t>
  </si>
  <si>
    <t>2.2 Organic Fertilizer and concoctions production</t>
  </si>
  <si>
    <t>1,100 liters of NFS Concoctions produced and 2,200 kg. of vermicast produce</t>
  </si>
  <si>
    <t>2.3 Establishment of vegetable/crops production</t>
  </si>
  <si>
    <t>2.4  Improvement and maintenance of MoRProGRes Garden</t>
  </si>
  <si>
    <t>2.5 Establishment and maintenance of Cassava Demo Farm</t>
  </si>
  <si>
    <t>2.6 Maintenance of Mother Mango trees and production of mango fruits</t>
  </si>
  <si>
    <t>2.7 Establishment of mango demo on fruit production technology</t>
  </si>
  <si>
    <t>J. AGRICULTURE AND FISHERIES DEVELOPMENT PROGRAM (AFDP)-PAFES</t>
  </si>
  <si>
    <t>2024 PPA's on going implementation</t>
  </si>
  <si>
    <t>1. Rice Development</t>
  </si>
  <si>
    <t>To increase rice production through provision of lacally available high quality rice seeds .</t>
  </si>
  <si>
    <t xml:space="preserve"> Agricom Visayas, Inc.; RS Agro Industrial Corporation; Iloilo New Agri Industrial and Marketing Services Inc.</t>
  </si>
  <si>
    <t>Jan. 2024</t>
  </si>
  <si>
    <t>Dec. 2024</t>
  </si>
  <si>
    <t>6 trainings related to rice project conducted; Agricultural inputs distributed to 5 Districts</t>
  </si>
  <si>
    <t>Rice- 9,098,600.00 (Agricom Visayas Inc.) PAID; 1,032,840.00 (Iloilo New Agri.) PAID</t>
  </si>
  <si>
    <t xml:space="preserve">On going process of payment </t>
  </si>
  <si>
    <t>To increase rice production through provision of lacally available high quality rice seeds and to establish sustainable rice production system in the Province of Iloilo</t>
  </si>
  <si>
    <t xml:space="preserve">5 Techno demo sites for inbred and highbred established
</t>
  </si>
  <si>
    <t>PR for Agricultural Supplies AGR-25-816-B) Delivered last October 28 &amp;29, 2025 amounting to 1,345,344.00 ; 1,193,960.00 respectively. Late Delivery of supply for the establishment of techno demo; on going partial distribution; PR on other supply payment on process GSO Compliance.</t>
  </si>
  <si>
    <t>5 cluster provided with inputs</t>
  </si>
  <si>
    <t xml:space="preserve">
Trainings/meetings conducted</t>
  </si>
  <si>
    <t>2 training conducted; 3 meeting conducted</t>
  </si>
  <si>
    <t>239,500. 00</t>
  </si>
  <si>
    <t>Contstruction of Warehouse and Drying Facility</t>
  </si>
  <si>
    <t>Art Center, Nanga, pototan, Iloilo</t>
  </si>
  <si>
    <t>Juan Tong and Sons Builders Corporation</t>
  </si>
  <si>
    <t>July. 2025</t>
  </si>
  <si>
    <t>Revised Bid amount Php 18, 474, 132.69
On going Construction</t>
  </si>
  <si>
    <t>2. Sugarcane Development Project</t>
  </si>
  <si>
    <t>To increase sugarcane production in the Province of Iloilo</t>
  </si>
  <si>
    <t xml:space="preserve">1 sugarcane nursery established
</t>
  </si>
  <si>
    <t>San Rafael Iloilo</t>
  </si>
  <si>
    <t>Sugarcane nursery site in San Rafael, Iloilo; On-going preparation of Memorandum of Agreement Between LGU and PAGRO; On going deliveries of supply</t>
  </si>
  <si>
    <t>12 techno demo sites for sugarcane production established</t>
  </si>
  <si>
    <t>Badiangan- 2 sites, 1 Janiuay, 3 Duenas 4 Barotac Nuevo., 2 Anilao</t>
  </si>
  <si>
    <t>12 sites established</t>
  </si>
  <si>
    <t xml:space="preserve">P.R for Agricultural Supplies AGR-25-1591B On going Delivered;
 Produced seed cane from Previous nursery establsihed, distributed to LGU for another establishment </t>
  </si>
  <si>
    <t>1 techno demo site established in ART Center Nanga, Pototan</t>
  </si>
  <si>
    <t>ART, Center Nanga, Pototan</t>
  </si>
  <si>
    <t xml:space="preserve">1 Techno demo site Established </t>
  </si>
  <si>
    <t>P.R for Agricultural Supplies AGR-25-670SVP payment on process.</t>
  </si>
  <si>
    <t xml:space="preserve">
2 meetings/trainings conducted</t>
  </si>
  <si>
    <t>1  training on sugarcane conducted
1 TWG meeting conducted</t>
  </si>
  <si>
    <t>Payment on process</t>
  </si>
  <si>
    <t>3. Coconut Development Project</t>
  </si>
  <si>
    <t>To expand coconut area and increase coconut production in the Province of Iloilo.</t>
  </si>
  <si>
    <t xml:space="preserve">1 coconut Nursery maintained
</t>
  </si>
  <si>
    <t xml:space="preserve">No seednuts were delivered for the 2024 establishment year because the supplier failed to meet the requirements; hence, no maintenance was conducted in 2025.
</t>
  </si>
  <si>
    <t>5 districts provided/distributed of agricultural inputs (seednuts)</t>
  </si>
  <si>
    <t>On-going procurement process (waiting for MOA with Philippine coconut Authority); P.R on process for procurement of coconut seednuts</t>
  </si>
  <si>
    <t>No. of trainings/meetings conducted</t>
  </si>
  <si>
    <t>Hotel del Rio</t>
  </si>
  <si>
    <t xml:space="preserve">KRS catering:
Premier island Management Corp </t>
  </si>
  <si>
    <t xml:space="preserve">1 training on sugarcane conducted  </t>
  </si>
  <si>
    <t>P.R for Training AGR-25-890 SVP payment on process</t>
  </si>
  <si>
    <t>4. Seaweed Development Project</t>
  </si>
  <si>
    <t>Improvement of Seaweed Industry through the establishment of techno-demo sites/farms, nursery and provision of farm materials.</t>
  </si>
  <si>
    <t>4.1 Impovement of Seaweed Industry</t>
  </si>
  <si>
    <t>1 seaweed nursery established</t>
  </si>
  <si>
    <t>Sua, San Dionisio</t>
  </si>
  <si>
    <t>INCA Philippines Inc. (Cebu Branch)</t>
  </si>
  <si>
    <t>inputs delivery on January 2026</t>
  </si>
  <si>
    <t>100 sets seaweed drying materials distributed</t>
  </si>
  <si>
    <t xml:space="preserve">6 Btac Viejo (5 Santiago, 1 Sto. Domingo)
34 Talingting, Carles
15 Concepcion (5 Tambaliza, 5 Taloto-an, 5 Polopina)
45 San Dionisio (10 Naborot Island, 15 Sua, 20 Tiabas)
</t>
  </si>
  <si>
    <t>Iloilo New Agri-Industrial Marketing &amp; Gen. Services</t>
  </si>
  <si>
    <t>PAYMENT ON PROCESS amounting to Php 1,784,791</t>
  </si>
  <si>
    <t># machineries and equipment purchased and distributed</t>
  </si>
  <si>
    <t xml:space="preserve">1  Btac Viejo (Santiago)
2 Carles (1 Buenavista
1 Talingting)
1  San Dionisio
</t>
  </si>
  <si>
    <t>for delivery on January 9, 2026</t>
  </si>
  <si>
    <t>4.2 Expansion of Shellfish Culture (oyster, mussel, etc.)</t>
  </si>
  <si>
    <t>15 shellfish culture technology demonstration sites established</t>
  </si>
  <si>
    <t>Dangulaan, Anilao
Zone 1, Pob, Banate</t>
  </si>
  <si>
    <t xml:space="preserve">Eddie-C Traders
Chedmaryl
</t>
  </si>
  <si>
    <t>16  shellfish culture technology demonstration sites established</t>
  </si>
  <si>
    <t>Payment on Process amounting to Php 177,880</t>
  </si>
  <si>
    <t>4.3 Establishment of technology demonstration site for finfish (milkfish, high value species, etc) mariculture</t>
  </si>
  <si>
    <t># of finfish mariculture techno-demo site established</t>
  </si>
  <si>
    <t>Office of the Hospital Management Officer</t>
  </si>
  <si>
    <t>Rehabilitation, improvement of Hospitals</t>
  </si>
  <si>
    <t>HMO</t>
  </si>
  <si>
    <t>Proposed Construction/Rehabilitation of Hospital Isolation and Ward</t>
  </si>
  <si>
    <t>Constructed</t>
  </si>
  <si>
    <t>RTMDH, Cabatuan</t>
  </si>
  <si>
    <t>Cyenne Builders and Supply</t>
  </si>
  <si>
    <t>20% IRA 2020 SB #2</t>
  </si>
  <si>
    <t>ongoing</t>
  </si>
  <si>
    <t>RPGTMH, Guimbal</t>
  </si>
  <si>
    <t>20% IRA 2020 SB 2</t>
  </si>
  <si>
    <t>to be implemented</t>
  </si>
  <si>
    <t>Proposed Construction/Rehabilitation of OR/DR</t>
  </si>
  <si>
    <t>SJMCH, San Joaquin</t>
  </si>
  <si>
    <t>Red Hammer International Builders Corporation</t>
  </si>
  <si>
    <t>Construction/Rehabilitation/ Improvement of Infrastructure/ Hospital Facilities</t>
  </si>
  <si>
    <t>Improvement of HMO Warehouse</t>
  </si>
  <si>
    <t>constructed</t>
  </si>
  <si>
    <t xml:space="preserve">Iloilo Sports Complex, Iloilo </t>
  </si>
  <si>
    <t>Oting Construction &amp; Supply</t>
  </si>
  <si>
    <t>2023 SB #1</t>
  </si>
  <si>
    <t>Improvement/Renovation of IPG-Clinic Laboratory</t>
  </si>
  <si>
    <t>IPG Clinic, Iloilo</t>
  </si>
  <si>
    <t>Makenzi Construction and Supply</t>
  </si>
  <si>
    <t>2024 SB #1</t>
  </si>
  <si>
    <t>Generator Set with ATS and Powerhouse (warehouse)</t>
  </si>
  <si>
    <t xml:space="preserve">Installation of ATS </t>
  </si>
  <si>
    <t>JMCDH, Balasan</t>
  </si>
  <si>
    <t xml:space="preserve">Construction of Admin Building </t>
  </si>
  <si>
    <t>Solar PV Project (RPGTMH, GNDTSDH, SDH, SJMCH)</t>
  </si>
  <si>
    <t>RPGTMH, GNDTSDH, SDH, SJMCH</t>
  </si>
  <si>
    <t>20% NTA 2026</t>
  </si>
  <si>
    <t>Improvement of Dietary Section</t>
  </si>
  <si>
    <t xml:space="preserve"> DVPSMDH, Passi City</t>
  </si>
  <si>
    <t>Installation of Fire Protection System</t>
  </si>
  <si>
    <t>ADH, Alimodian</t>
  </si>
  <si>
    <t>ILOILO PROVINCIAL HOSPITAL (IPH)</t>
  </si>
  <si>
    <t>IPG/HMO</t>
  </si>
  <si>
    <t>Construction of PHU Complex</t>
  </si>
  <si>
    <t>IPH</t>
  </si>
  <si>
    <t>RC &amp; RC Prime Builders Corporation</t>
  </si>
  <si>
    <t>HFEP 2022</t>
  </si>
  <si>
    <t>February 8, 2025</t>
  </si>
  <si>
    <t>October 4, 2025</t>
  </si>
  <si>
    <t>Completion of Triage Facility (Additional Works)</t>
  </si>
  <si>
    <t>Construction of Morgue with Freezers</t>
  </si>
  <si>
    <t>Completion of STP</t>
  </si>
  <si>
    <t>A.G. Saban Builder</t>
  </si>
  <si>
    <t>HFEP 2023</t>
  </si>
  <si>
    <t>Completion of ICU</t>
  </si>
  <si>
    <t>Renovation of Dietary Complex</t>
  </si>
  <si>
    <t>NEM Construction and Services</t>
  </si>
  <si>
    <t>October 13, 2025</t>
  </si>
  <si>
    <t>November 21, 2025</t>
  </si>
  <si>
    <t>suspended as of December 13, 2025</t>
  </si>
  <si>
    <t>Supply and Installation of generator breaker, supply and installation of 3 unit transformer</t>
  </si>
  <si>
    <t>ALEOSAN DlSTRICT HOSPITAL (ADH)</t>
  </si>
  <si>
    <t>Linen and Laundry Improvement</t>
  </si>
  <si>
    <t>ADH</t>
  </si>
  <si>
    <t>Edison C. Builders and Constructin Supply</t>
  </si>
  <si>
    <t>2020 SB #4</t>
  </si>
  <si>
    <t>February 12, 2025</t>
  </si>
  <si>
    <t>May 17, 2025</t>
  </si>
  <si>
    <t xml:space="preserve">Grid Tie Solar System </t>
  </si>
  <si>
    <t>Installation of Grid Tie Solar Power System  (Phase II: 20 KV w/ streetlights)</t>
  </si>
  <si>
    <t>Solar PV installed and functional</t>
  </si>
  <si>
    <t>20% NTA 2023 SB #1</t>
  </si>
  <si>
    <t>March 16, 2024</t>
  </si>
  <si>
    <t>August 2, 2024</t>
  </si>
  <si>
    <t>Construction of triage</t>
  </si>
  <si>
    <t>2022 SB#1</t>
  </si>
  <si>
    <t>Renovation/Expansion/Improvement of Laboratory as Level 3 and Pharmacy</t>
  </si>
  <si>
    <t>San Jose Builders</t>
  </si>
  <si>
    <t>July 02, 2024</t>
  </si>
  <si>
    <t>August 9, 2025</t>
  </si>
  <si>
    <t>Renovation/Expansion.Improvement of Zubiri Ward</t>
  </si>
  <si>
    <t>Repair/Renovation of Koica Bulding</t>
  </si>
  <si>
    <t>December 6, 2025</t>
  </si>
  <si>
    <t>January 9, 2027</t>
  </si>
  <si>
    <t>suspended as of December 11, 2025</t>
  </si>
  <si>
    <t>Construction of OPD building</t>
  </si>
  <si>
    <t>Rehabilitation/Repair/Improvement of Slope Protection and Access Road</t>
  </si>
  <si>
    <t>2025 SB#1</t>
  </si>
  <si>
    <t>RAMON TABIANA MEMORIAL DISTRICT HOSPITAL (RTMDH)</t>
  </si>
  <si>
    <t>Parking Area</t>
  </si>
  <si>
    <t>RTMDH</t>
  </si>
  <si>
    <t>Equals Five Construction</t>
  </si>
  <si>
    <t>2018 SB #2</t>
  </si>
  <si>
    <t>Completion of Cadaver Holding</t>
  </si>
  <si>
    <t>EC Builders</t>
  </si>
  <si>
    <t>for reversion</t>
  </si>
  <si>
    <t>Drainage Cover</t>
  </si>
  <si>
    <t>Giantwest Construction Corporation</t>
  </si>
  <si>
    <t>Updgrading of Electrical System</t>
  </si>
  <si>
    <t>Upgrading of Power System Phase I &amp; II</t>
  </si>
  <si>
    <t>installed</t>
  </si>
  <si>
    <t>NEM Construction Supplies and Services</t>
  </si>
  <si>
    <t>20% IRA 2020 SB #4 (6m), 2023 SB #1 (4m)</t>
  </si>
  <si>
    <t>February 27, 2025</t>
  </si>
  <si>
    <t>Power Supply System</t>
  </si>
  <si>
    <t>Generating Set 150KVA</t>
  </si>
  <si>
    <t>Megamight Enterprises</t>
  </si>
  <si>
    <t>2021 SB #2</t>
  </si>
  <si>
    <t>Completion/Updgrading of RTMDH</t>
  </si>
  <si>
    <t>Completion of OPD Renovation (Additional Works)</t>
  </si>
  <si>
    <t>March 25, 2025</t>
  </si>
  <si>
    <t>Improvement of Dietary</t>
  </si>
  <si>
    <t>Completion of Dietary Building 
( balance works from HFEP 2022)</t>
  </si>
  <si>
    <t>JM Gomez Construction Services</t>
  </si>
  <si>
    <t>Expansion/renovation/improvement of OR/DR</t>
  </si>
  <si>
    <t>Completion of Triage Facility</t>
  </si>
  <si>
    <t>Completion of CT Scan Room</t>
  </si>
  <si>
    <t>Installation of 64 kW Hybrid On/Off Grid PV Solar  project</t>
  </si>
  <si>
    <t>2025 NTA SB #1</t>
  </si>
  <si>
    <t>RAMON D. DUREMDES DISTRICT HOSPITAL (RDDDH)</t>
  </si>
  <si>
    <t>Improvement of Various Infrastructure (Storage, Records, Rehabilitaion/Doctor's Quarter)</t>
  </si>
  <si>
    <t>RDDDH</t>
  </si>
  <si>
    <t>R.V. Dolar Engineering Services</t>
  </si>
  <si>
    <t xml:space="preserve">20% IRA 2017 SB #1 </t>
  </si>
  <si>
    <t>December 14, 2021</t>
  </si>
  <si>
    <t>February 1, 2024</t>
  </si>
  <si>
    <t>completed</t>
  </si>
  <si>
    <t>Construction of 2 Storey Rehab : STO/Records building/doctors quarters (Phase II)</t>
  </si>
  <si>
    <t>William Dennis Construction Services</t>
  </si>
  <si>
    <t>October 6, 2025</t>
  </si>
  <si>
    <t>March 4, 2026</t>
  </si>
  <si>
    <t>Completion/Upgrading of Ramon D. Duremdes District Hospital</t>
  </si>
  <si>
    <t>EAJ Construction &amp; Supply</t>
  </si>
  <si>
    <t xml:space="preserve">20% IRA 2020 SB #2 </t>
  </si>
  <si>
    <t>November 12, 2024</t>
  </si>
  <si>
    <t>April 1, 2025</t>
  </si>
  <si>
    <t>Rehabilitation of Plumbing System OPD &amp; Station B with repair of Water Tank Housing</t>
  </si>
  <si>
    <t>April 29, 2025</t>
  </si>
  <si>
    <t>Grid-Tie Solar Power System</t>
  </si>
  <si>
    <t xml:space="preserve">NEM Construction Supplies &amp; Services </t>
  </si>
  <si>
    <t>March 6, 2024</t>
  </si>
  <si>
    <t>July 12, 2024</t>
  </si>
  <si>
    <t>Renovation/Improvement of Ward</t>
  </si>
  <si>
    <t>March 08, 2025</t>
  </si>
  <si>
    <t>Renovation/Expansion/Improvement of OR/DR</t>
  </si>
  <si>
    <t>Upgrading of  power supply</t>
  </si>
  <si>
    <t>July 18, 2025</t>
  </si>
  <si>
    <t xml:space="preserve">Completion of STP </t>
  </si>
  <si>
    <t>Proposed Installation of Automatic Transfer Switch (ATS)</t>
  </si>
  <si>
    <t>2025 SB #1</t>
  </si>
  <si>
    <t>REP. PEDRO G. TRONO MEMORIAL HOSPITAL (RPGTMH)</t>
  </si>
  <si>
    <t>Various waste facilities</t>
  </si>
  <si>
    <t>RPGTMH</t>
  </si>
  <si>
    <t>2022 SB #1</t>
  </si>
  <si>
    <t>Improvement/Renovation of Rehabilitation Building</t>
  </si>
  <si>
    <t>Relocation of Main Feederline &amp;
Upgrading of Electrical System
Phase II</t>
  </si>
  <si>
    <t>NEM Contruction</t>
  </si>
  <si>
    <t>August 19, 2025</t>
  </si>
  <si>
    <t>November 26, 2025</t>
  </si>
  <si>
    <t>Expansion/Renovation of Clinical Laboratory as Level 3</t>
  </si>
  <si>
    <t>Stronglane Buildrs and Trading Corporation</t>
  </si>
  <si>
    <t>December 23, 2025</t>
  </si>
  <si>
    <t xml:space="preserve">Construction of Maintenance Building </t>
  </si>
  <si>
    <t>Rehabilitation of Triage Area</t>
  </si>
  <si>
    <t>Iloilo Grand Emperor Builders Corporation</t>
  </si>
  <si>
    <t>DR. RICARDO Y. LADRIDO MEMORIAL HOSPITAL (DRYLMH)</t>
  </si>
  <si>
    <t>Rewiring of Transformers</t>
  </si>
  <si>
    <t>DRYLMH</t>
  </si>
  <si>
    <t xml:space="preserve">to be implemented </t>
  </si>
  <si>
    <t>Construction and Installation of Thermal Waste Decomposer</t>
  </si>
  <si>
    <t xml:space="preserve">RMKP Construction Inc. </t>
  </si>
  <si>
    <t>20% IRA 2022 SB #1</t>
  </si>
  <si>
    <t>September 11, 2024</t>
  </si>
  <si>
    <t>August 26, 2025</t>
  </si>
  <si>
    <t>suspended</t>
  </si>
  <si>
    <t>Perimeter Fence</t>
  </si>
  <si>
    <t>AGM Silver Construction</t>
  </si>
  <si>
    <t>September 16, 2024</t>
  </si>
  <si>
    <t>August 25, 2024</t>
  </si>
  <si>
    <t>Improvement of Parking Area</t>
  </si>
  <si>
    <t>Pesom Construction Services</t>
  </si>
  <si>
    <t>August 23, 2025</t>
  </si>
  <si>
    <t>January 8, 2026</t>
  </si>
  <si>
    <t>Improvement of X-Ray Room and Mammography Area</t>
  </si>
  <si>
    <t>Restia Builders Corporation</t>
  </si>
  <si>
    <t>November 20, 2024</t>
  </si>
  <si>
    <t>June 30, 2025</t>
  </si>
  <si>
    <t>Expansion of Laboratory (Microbiology Unit and CR)</t>
  </si>
  <si>
    <t>20% IRA 2025 SB 1</t>
  </si>
  <si>
    <t>SARA DISTRICT HOSPITAL (SDH)</t>
  </si>
  <si>
    <t>Completion of Perimeter Fence with Lighting</t>
  </si>
  <si>
    <t>SDH</t>
  </si>
  <si>
    <t>2020 20% IRA</t>
  </si>
  <si>
    <t>December 11, 2024</t>
  </si>
  <si>
    <t>January 19, 2025</t>
  </si>
  <si>
    <t>Extension of Records Room</t>
  </si>
  <si>
    <t xml:space="preserve">2020 SB #4 </t>
  </si>
  <si>
    <t>Installation of Power Supply</t>
  </si>
  <si>
    <t>Automatic Transfer Switch</t>
  </si>
  <si>
    <t>2021 20% IRA</t>
  </si>
  <si>
    <t>November 29, 2023</t>
  </si>
  <si>
    <t>December 28, 2023</t>
  </si>
  <si>
    <t>Water Supply Systems</t>
  </si>
  <si>
    <t>Cistern Water Tank</t>
  </si>
  <si>
    <t>Construction of Personnel's Dormitory</t>
  </si>
  <si>
    <t>Construction of Personnels Dormitory of Sara District Hospital</t>
  </si>
  <si>
    <t>October 08, 2024</t>
  </si>
  <si>
    <t>December 7, 2025</t>
  </si>
  <si>
    <t>Completion/Upgrading of Sara District Hospital</t>
  </si>
  <si>
    <t>MDG Construction</t>
  </si>
  <si>
    <t>March 27, 2024</t>
  </si>
  <si>
    <t>September 07, 2024</t>
  </si>
  <si>
    <t>construction of Laundry and Linen, Dietary Building</t>
  </si>
  <si>
    <t>construction of cadaver holding</t>
  </si>
  <si>
    <t>repair/expansion of laboratory and x-ray, CT Scan, NICU, ICU</t>
  </si>
  <si>
    <t xml:space="preserve">Improvement of Parking Area/Frontage </t>
  </si>
  <si>
    <t>Binjo Construction Services</t>
  </si>
  <si>
    <t>September 13, 2025</t>
  </si>
  <si>
    <t>January 10, 2026</t>
  </si>
  <si>
    <t>Completion of Perimeter Fence</t>
  </si>
  <si>
    <t>DR. RICARDO S. PROVIDO SR. MEMORIAL DISTRICT HOSPITAL (DRSPSMDH)</t>
  </si>
  <si>
    <t xml:space="preserve">Improvement of Water System </t>
  </si>
  <si>
    <t>DRSPSMDH</t>
  </si>
  <si>
    <t>Rehabilitation of fire protection system and roofing of KOICA building</t>
  </si>
  <si>
    <t>Repaired</t>
  </si>
  <si>
    <t>Perimeter Fence Phase II</t>
  </si>
  <si>
    <t>Perimeter Fence (Phase II)</t>
  </si>
  <si>
    <t>Red Hammer Interational Builders Corporation</t>
  </si>
  <si>
    <t>March 24, 2025</t>
  </si>
  <si>
    <t xml:space="preserve">Renovation/Improvement of OR Complex CSR </t>
  </si>
  <si>
    <t>Vannie Construction and Supply</t>
  </si>
  <si>
    <t>December 24, 2023</t>
  </si>
  <si>
    <t>December 27, 2024</t>
  </si>
  <si>
    <t>Repair of Roofing of KOICA Building</t>
  </si>
  <si>
    <t>Construction of Isolation Ward</t>
  </si>
  <si>
    <t>Repair/Expansion of pharmacy</t>
  </si>
  <si>
    <t>Expansion of Dietary Building</t>
  </si>
  <si>
    <t>Repair of roofing at x-ray &amp; laboratory</t>
  </si>
  <si>
    <t>Completion of Triage area</t>
  </si>
  <si>
    <t>Construction of Entrance Canopy</t>
  </si>
  <si>
    <t>DON VALERIO PALMARES SR. MEMORIAL DISTRICT HOSPITAL (DVPSMDH)</t>
  </si>
  <si>
    <t>Construction of 2 Storey Building (Phase I)</t>
  </si>
  <si>
    <t>DVPSMDH</t>
  </si>
  <si>
    <t>NEM Construction Supply and Services</t>
  </si>
  <si>
    <t>2016 SB #2</t>
  </si>
  <si>
    <t>March 25, 2023</t>
  </si>
  <si>
    <t>March 21, 2024</t>
  </si>
  <si>
    <t>Completion/Upgrading of Don
Valerio Palmares Sr. Memorial
District Hospital</t>
  </si>
  <si>
    <t>May 04, 2026</t>
  </si>
  <si>
    <t>Installation of Fire System</t>
  </si>
  <si>
    <t>Fire Protection System (at existing building)</t>
  </si>
  <si>
    <t>Installed</t>
  </si>
  <si>
    <t>March 19, 2024</t>
  </si>
  <si>
    <t>Various Waste holding facility (Pathological Tank, Sharps Vault)</t>
  </si>
  <si>
    <t xml:space="preserve">Transfer Switch </t>
  </si>
  <si>
    <t>Noe's Builders</t>
  </si>
  <si>
    <t>January 20, 2025</t>
  </si>
  <si>
    <t>March 5, 2025</t>
  </si>
  <si>
    <t>Installation of 300KVA Generator set with ATS</t>
  </si>
  <si>
    <t>2020 SB #4, 2023 SB #1</t>
  </si>
  <si>
    <t>Expansion/ Repair/ Renovation/Improvement of OR/DR</t>
  </si>
  <si>
    <t>January13, 2026</t>
  </si>
  <si>
    <t xml:space="preserve">ongoing </t>
  </si>
  <si>
    <t>Improvement of Xray Section</t>
  </si>
  <si>
    <t>Construction of Medical Wards</t>
  </si>
  <si>
    <t xml:space="preserve">Completion of Triage Facility </t>
  </si>
  <si>
    <t>Repair of OPD Complex (Additional Works)</t>
  </si>
  <si>
    <t>Repair of OPD Building</t>
  </si>
  <si>
    <t>Repair of Electrical and Plumbing system</t>
  </si>
  <si>
    <t>Land Improvement of Parking Area</t>
  </si>
  <si>
    <t>JESUS M COLMENARES DISTRICT HOSPITAL (JMCDH)</t>
  </si>
  <si>
    <t>Improvement of Dietary Complex</t>
  </si>
  <si>
    <t>JMCDH</t>
  </si>
  <si>
    <t>Binjo Construcion Services</t>
  </si>
  <si>
    <t>May 21, 2025</t>
  </si>
  <si>
    <t>Rehabilitation of Wards</t>
  </si>
  <si>
    <t>2020 20% IRA SB #4</t>
  </si>
  <si>
    <t>February 8, 2023</t>
  </si>
  <si>
    <t>Various Waste Holding Facility (sharps pit, pathological tank)</t>
  </si>
  <si>
    <t>Installation of Water System</t>
  </si>
  <si>
    <t>Water System</t>
  </si>
  <si>
    <t>Renovation /Improvement of OR with CSR</t>
  </si>
  <si>
    <t>Binjo Constuction Services</t>
  </si>
  <si>
    <t>August 11, 2015</t>
  </si>
  <si>
    <t>Renovation/Expansion/Improvement of Pharmacy</t>
  </si>
  <si>
    <t>Construction of Main Lobby</t>
  </si>
  <si>
    <t>July 24, 2026</t>
  </si>
  <si>
    <t>Completion of Triage Area/Waiting Area and Dental Clinic</t>
  </si>
  <si>
    <t xml:space="preserve"> 2025 NTA SB #1</t>
  </si>
  <si>
    <t>Construction of Perimeter Fence</t>
  </si>
  <si>
    <t>FEDERICO ROMAN TIRADOR SR. MEMORIAL DISTRICT HOSPITAL (FRTSMDH)</t>
  </si>
  <si>
    <t>Drainage canal (front of hosp)</t>
  </si>
  <si>
    <t>FRTSMDH</t>
  </si>
  <si>
    <t>2017 SB#1</t>
  </si>
  <si>
    <t>Other Land Improvements</t>
  </si>
  <si>
    <t>2017 SB#2</t>
  </si>
  <si>
    <t>Construction of Parking Area</t>
  </si>
  <si>
    <t>Renovation/Expansion/Improvement of X-ray Section</t>
  </si>
  <si>
    <t>Renovation/Expansion/Improvement of OPD Complex/X-ray laboratory and ward complex</t>
  </si>
  <si>
    <t>Repair/Improvement of ER and Admin Building (2 storey Building)</t>
  </si>
  <si>
    <t>GOV. NIEL D. TUPAS SR. DISTRICT HOSPITAL (GNDTSDH)</t>
  </si>
  <si>
    <t xml:space="preserve">Rehab/Upgrading of OR and DR (Additional Works) </t>
  </si>
  <si>
    <t>GNDTSDH</t>
  </si>
  <si>
    <t>Red Hammer Builders Corporation</t>
  </si>
  <si>
    <t>2017 20% IRA SB #1</t>
  </si>
  <si>
    <t>February 2, 2023</t>
  </si>
  <si>
    <t>April 17, 2023</t>
  </si>
  <si>
    <t>Supply &amp; Installation of ATS</t>
  </si>
  <si>
    <t>July 23, 2024</t>
  </si>
  <si>
    <t>May 9, 2025</t>
  </si>
  <si>
    <t>ongoing construction</t>
  </si>
  <si>
    <t>Construction of one storey wards building</t>
  </si>
  <si>
    <t>Renovation of Pharmacy and Laboratory</t>
  </si>
  <si>
    <t>Improvement of Wards</t>
  </si>
  <si>
    <t>SAN JOAQUIN MOTHER AND CHILD HOSPITAL (SJMCH)</t>
  </si>
  <si>
    <t>Rehabilitation/Improvement of OR/DR of San Joaquin Mother and Child Hospital</t>
  </si>
  <si>
    <t>SJMCH</t>
  </si>
  <si>
    <t>RESTIA Builders Corporation</t>
  </si>
  <si>
    <t xml:space="preserve"> 20% IRA 2020 SB #2</t>
  </si>
  <si>
    <t>March 1, 2025</t>
  </si>
  <si>
    <t>Construction of Various Waste Holding Facilities  (Infectious Pit, Vault Pit for Sharps, Pharmaceutical  Pit, Placenta Pit, Anatomical Pit, Pathological Pit, Material Recovery Facility and Septic  Vault/ Pit  Radiological Waste</t>
  </si>
  <si>
    <t>Red Hammer Internation Builders Corporation</t>
  </si>
  <si>
    <t>July 4, 2023</t>
  </si>
  <si>
    <t>November 15, 2023</t>
  </si>
  <si>
    <t>Completion of X-ray room, proposed nurse's stations, dietary improvement (installation of industrial kitchen rangehood)</t>
  </si>
  <si>
    <t>RMKP Construction</t>
  </si>
  <si>
    <t>October 18, 2023</t>
  </si>
  <si>
    <t>November 21, 2023</t>
  </si>
  <si>
    <t>SB #1</t>
  </si>
  <si>
    <t xml:space="preserve">A. Maquiling Construction and Supply (for post qua) </t>
  </si>
  <si>
    <t>May 25, 2025</t>
  </si>
  <si>
    <t>Completion of PHU Complex</t>
  </si>
  <si>
    <t>PAYMENT ON PROCESS:
  - AGR-25-607B- Php 51,545.83 (agri supplies)
  - AGR-25-1057- Php 241,575.00 (zoo supplies-feeds) - first delivery                                                
FOR DELIVERY:
  - AGR-25-1280- Php 17,500.00 (japanese mat)                                                                     
CANCELLED PRs DUE TO NO BIDDER:
  - AGR-25-1088B- Php 73,195.00 (agri supplies)                           
  - AGR-25-1234B-Php 175,475.00 (Other Supplies- rubberband, etc                                                
  - AGR-25-1640- Php 25,807.00 (Other MOE-aquarium, etc.)
  - AGR-25-1588- Php 7,476.00 (Other MOE-pressure washer, etc.)</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</si>
</sst>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 #,##0.00_-;_-* &quot;-&quot;??_-;_-@_-"/>
    <numFmt numFmtId="164" formatCode="_(* #,##0.00_);_(* \(#,##0.00\);_(* &quot;-&quot;??_);_(@_)"/>
    <numFmt numFmtId="165" formatCode="_([$₱-3409]* #,##0.00_);_([$₱-3409]* \(#,##0.00\);_([$₱-3409]* &quot;-&quot;??_);_(@_)"/>
    <numFmt numFmtId="166" formatCode="[$-409]mmmm\ d\,\ yyyy;@"/>
    <numFmt numFmtId="167" formatCode="_-* #,##0.00_-;\-* #,##0.00_-;_-* &quot;-&quot;??_-;_-@"/>
    <numFmt numFmtId="168" formatCode="#,##0.00;\(#,##0.00\)"/>
    <numFmt numFmtId="169" formatCode="mmm\ yyyy"/>
    <numFmt numFmtId="170" formatCode="#,##0.00;[Red]#,##0.00"/>
  </numFmts>
  <fonts count="22" x14ac:knownFonts="1">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1"/>
      <color theme="1"/>
      <name val="Arial Narrow"/>
      <family val="2"/>
    </font>
    <font>
      <sz val="11"/>
      <color theme="1"/>
      <name val="Arial Narrow"/>
      <family val="2"/>
    </font>
    <font>
      <sz val="10"/>
      <color theme="1"/>
      <name val="Calibri"/>
      <family val="2"/>
      <scheme val="minor"/>
    </font>
    <font>
      <b/>
      <sz val="10"/>
      <color theme="1"/>
      <name val="Arial"/>
      <family val="2"/>
    </font>
    <font>
      <sz val="11"/>
      <color theme="1"/>
      <name val="Arial"/>
    </font>
    <font>
      <sz val="11"/>
      <color theme="1"/>
      <name val="Arial"/>
      <family val="2"/>
    </font>
    <font>
      <b/>
      <sz val="10"/>
      <color theme="1"/>
      <name val="Calibri"/>
      <family val="2"/>
      <scheme val="minor"/>
    </font>
    <font>
      <sz val="10"/>
      <name val="Calibri"/>
      <family val="2"/>
      <scheme val="minor"/>
    </font>
    <font>
      <b/>
      <sz val="10"/>
      <name val="Calibri"/>
      <family val="2"/>
      <scheme val="minor"/>
    </font>
    <font>
      <b/>
      <i/>
      <sz val="10"/>
      <color theme="1"/>
      <name val="Calibri"/>
      <family val="2"/>
      <scheme val="minor"/>
    </font>
    <font>
      <b/>
      <i/>
      <sz val="10"/>
      <name val="Calibri"/>
      <family val="2"/>
      <scheme val="minor"/>
    </font>
    <font>
      <sz val="10"/>
      <color rgb="FF000000"/>
      <name val="Calibri"/>
      <family val="2"/>
      <scheme val="minor"/>
    </font>
    <font>
      <b/>
      <sz val="10"/>
      <color rgb="FFFF0000"/>
      <name val="Calibri"/>
      <family val="2"/>
      <scheme val="minor"/>
    </font>
    <font>
      <sz val="10"/>
      <color rgb="FFC00000"/>
      <name val="Calibri"/>
      <family val="2"/>
      <scheme val="minor"/>
    </font>
    <font>
      <sz val="10"/>
      <color rgb="FF1F1F1F"/>
      <name val="Calibri"/>
      <family val="2"/>
      <scheme val="minor"/>
    </font>
    <font>
      <sz val="10"/>
      <color indexed="8"/>
      <name val="Calibri"/>
      <family val="2"/>
      <scheme val="minor"/>
    </font>
    <font>
      <b/>
      <sz val="10"/>
      <color rgb="FF000000"/>
      <name val="Calibri"/>
      <family val="2"/>
      <scheme val="minor"/>
    </font>
    <font>
      <sz val="10"/>
      <color rgb="FFFF0000"/>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
      <patternFill patternType="solid">
        <fgColor theme="0"/>
        <bgColor theme="6" tint="0.79998168889431442"/>
      </patternFill>
    </fill>
    <fill>
      <patternFill patternType="solid">
        <fgColor theme="0"/>
        <bgColor theme="0"/>
      </patternFill>
    </fill>
    <fill>
      <patternFill patternType="solid">
        <fgColor theme="0"/>
        <bgColor rgb="FFBDD6EE"/>
      </patternFill>
    </fill>
    <fill>
      <patternFill patternType="solid">
        <fgColor theme="0"/>
        <bgColor rgb="FF9CC2E5"/>
      </patternFill>
    </fill>
    <fill>
      <patternFill patternType="solid">
        <fgColor theme="0"/>
        <bgColor rgb="FFFEF2CB"/>
      </patternFill>
    </fill>
    <fill>
      <patternFill patternType="solid">
        <fgColor theme="9" tint="0.79998168889431442"/>
        <bgColor indexed="64"/>
      </patternFill>
    </fill>
    <fill>
      <patternFill patternType="solid">
        <fgColor theme="2"/>
        <bgColor rgb="FFC9DAF8"/>
      </patternFill>
    </fill>
    <fill>
      <patternFill patternType="solid">
        <fgColor theme="0"/>
        <bgColor rgb="FFCFE2F3"/>
      </patternFill>
    </fill>
    <fill>
      <patternFill patternType="solid">
        <fgColor theme="0"/>
        <bgColor theme="6" tint="0.79970702230903046"/>
      </patternFill>
    </fill>
    <fill>
      <patternFill patternType="solid">
        <fgColor rgb="FFFFFFFF"/>
        <bgColor rgb="FF000000"/>
      </patternFill>
    </fill>
    <fill>
      <patternFill patternType="solid">
        <fgColor rgb="FFFFFFFF"/>
        <bgColor rgb="FFEDEDED"/>
      </patternFill>
    </fill>
    <fill>
      <patternFill patternType="solid">
        <fgColor theme="9" tint="0.59999389629810485"/>
        <bgColor indexed="64"/>
      </patternFill>
    </fill>
    <fill>
      <patternFill patternType="solid">
        <fgColor theme="5" tint="0.79998168889431442"/>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000000"/>
      </left>
      <right/>
      <top style="thin">
        <color indexed="64"/>
      </top>
      <bottom style="thin">
        <color indexed="64"/>
      </bottom>
      <diagonal/>
    </border>
    <border>
      <left style="medium">
        <color rgb="FF000000"/>
      </left>
      <right style="thin">
        <color indexed="64"/>
      </right>
      <top style="thin">
        <color indexed="64"/>
      </top>
      <bottom/>
      <diagonal/>
    </border>
    <border>
      <left style="medium">
        <color rgb="FF000000"/>
      </left>
      <right style="thin">
        <color indexed="64"/>
      </right>
      <top/>
      <bottom style="thin">
        <color indexed="64"/>
      </bottom>
      <diagonal/>
    </border>
    <border>
      <left/>
      <right style="thin">
        <color indexed="64"/>
      </right>
      <top style="thin">
        <color indexed="64"/>
      </top>
      <bottom style="thin">
        <color indexed="64"/>
      </bottom>
      <diagonal/>
    </border>
    <border>
      <left style="medium">
        <color rgb="FF000000"/>
      </left>
      <right/>
      <top style="thin">
        <color indexed="64"/>
      </top>
      <bottom/>
      <diagonal/>
    </border>
    <border>
      <left style="medium">
        <color rgb="FF000000"/>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rgb="FF000000"/>
      </top>
      <bottom/>
      <diagonal/>
    </border>
    <border>
      <left style="thin">
        <color indexed="64"/>
      </left>
      <right/>
      <top style="thin">
        <color indexed="64"/>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indexed="64"/>
      </bottom>
      <diagonal/>
    </border>
    <border>
      <left style="thin">
        <color rgb="FF000000"/>
      </left>
      <right style="thin">
        <color rgb="FF000000"/>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diagonal/>
    </border>
    <border>
      <left/>
      <right/>
      <top style="thin">
        <color indexed="64"/>
      </top>
      <bottom/>
      <diagonal/>
    </border>
    <border>
      <left/>
      <right style="thin">
        <color rgb="FF000000"/>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rgb="FF000000"/>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bottom style="medium">
        <color indexed="64"/>
      </bottom>
      <diagonal/>
    </border>
  </borders>
  <cellStyleXfs count="13">
    <xf numFmtId="0" fontId="0" fillId="0" borderId="0"/>
    <xf numFmtId="164"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8" fillId="0" borderId="0"/>
    <xf numFmtId="43" fontId="9"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896">
    <xf numFmtId="0" fontId="0" fillId="0" borderId="0" xfId="0"/>
    <xf numFmtId="0" fontId="2" fillId="0" borderId="0" xfId="0" applyFont="1"/>
    <xf numFmtId="0" fontId="3" fillId="0" borderId="0" xfId="0" applyFont="1"/>
    <xf numFmtId="0" fontId="5" fillId="3" borderId="0" xfId="0" applyFont="1" applyFill="1"/>
    <xf numFmtId="0" fontId="5" fillId="0" borderId="0" xfId="0" applyFont="1"/>
    <xf numFmtId="0" fontId="5" fillId="0" borderId="0" xfId="0" applyFont="1" applyAlignment="1">
      <alignment vertical="top" wrapText="1"/>
    </xf>
    <xf numFmtId="0" fontId="4" fillId="0" borderId="0" xfId="0" applyFont="1" applyAlignment="1">
      <alignment wrapText="1"/>
    </xf>
    <xf numFmtId="0" fontId="2" fillId="0" borderId="0" xfId="0" applyFont="1" applyAlignment="1">
      <alignment vertical="top"/>
    </xf>
    <xf numFmtId="0" fontId="7" fillId="0" borderId="7" xfId="0" applyFont="1" applyBorder="1" applyAlignment="1">
      <alignment vertical="center"/>
    </xf>
    <xf numFmtId="0" fontId="7" fillId="0" borderId="0" xfId="0" applyFont="1" applyAlignment="1">
      <alignment vertical="center"/>
    </xf>
    <xf numFmtId="0" fontId="4" fillId="5" borderId="0" xfId="0" applyFont="1" applyFill="1" applyAlignment="1">
      <alignment wrapText="1"/>
    </xf>
    <xf numFmtId="0" fontId="6" fillId="0" borderId="1" xfId="0" applyFont="1" applyBorder="1" applyAlignment="1">
      <alignment vertical="top" wrapText="1"/>
    </xf>
    <xf numFmtId="0" fontId="6" fillId="0" borderId="2" xfId="0" applyFont="1" applyBorder="1" applyAlignment="1">
      <alignment horizontal="center" vertical="top" wrapText="1"/>
    </xf>
    <xf numFmtId="0" fontId="6" fillId="0" borderId="10" xfId="0" applyFont="1" applyBorder="1" applyAlignment="1">
      <alignment horizontal="center" vertical="top" wrapText="1"/>
    </xf>
    <xf numFmtId="0" fontId="6" fillId="0" borderId="3" xfId="0" applyFont="1" applyBorder="1" applyAlignment="1">
      <alignment horizontal="center" vertical="top" wrapText="1"/>
    </xf>
    <xf numFmtId="0" fontId="6" fillId="0" borderId="1" xfId="0" applyFont="1" applyBorder="1" applyAlignment="1">
      <alignment horizontal="center" vertical="top" wrapText="1"/>
    </xf>
    <xf numFmtId="0" fontId="10" fillId="18" borderId="1" xfId="0" applyFont="1" applyFill="1" applyBorder="1" applyAlignment="1">
      <alignment horizontal="center" vertical="center"/>
    </xf>
    <xf numFmtId="0" fontId="10" fillId="18" borderId="11" xfId="0" applyFont="1" applyFill="1" applyBorder="1" applyAlignment="1">
      <alignment horizontal="center" vertical="center"/>
    </xf>
    <xf numFmtId="0" fontId="6" fillId="5" borderId="1" xfId="0" applyFont="1" applyFill="1" applyBorder="1" applyAlignment="1">
      <alignment horizontal="left" vertical="top" wrapText="1"/>
    </xf>
    <xf numFmtId="0" fontId="6" fillId="5" borderId="1" xfId="0" applyFont="1" applyFill="1" applyBorder="1" applyAlignment="1">
      <alignment horizontal="center" vertical="center" textRotation="90" wrapText="1"/>
    </xf>
    <xf numFmtId="0" fontId="6" fillId="5" borderId="1" xfId="0" applyFont="1" applyFill="1" applyBorder="1" applyAlignment="1">
      <alignment horizontal="center" vertical="top"/>
    </xf>
    <xf numFmtId="43" fontId="6" fillId="5" borderId="1" xfId="4" applyFont="1" applyFill="1" applyBorder="1" applyAlignment="1">
      <alignment horizontal="center" vertical="top"/>
    </xf>
    <xf numFmtId="0" fontId="6" fillId="5" borderId="1" xfId="0" applyFont="1" applyFill="1" applyBorder="1" applyAlignment="1">
      <alignment horizontal="center" vertical="center"/>
    </xf>
    <xf numFmtId="43" fontId="6" fillId="5" borderId="1" xfId="4" applyFont="1" applyFill="1" applyBorder="1" applyAlignment="1">
      <alignment horizontal="center" vertical="center"/>
    </xf>
    <xf numFmtId="0" fontId="6" fillId="5" borderId="1" xfId="0" applyFont="1" applyFill="1" applyBorder="1" applyAlignment="1">
      <alignment horizontal="center" vertical="center" wrapText="1"/>
    </xf>
    <xf numFmtId="0" fontId="6" fillId="5" borderId="1" xfId="0" applyFont="1" applyFill="1" applyBorder="1" applyAlignment="1">
      <alignment horizontal="center" vertical="center" textRotation="90" wrapText="1"/>
    </xf>
    <xf numFmtId="0" fontId="6" fillId="5" borderId="1" xfId="0" applyFont="1" applyFill="1" applyBorder="1" applyAlignment="1">
      <alignment horizontal="center" vertical="top"/>
    </xf>
    <xf numFmtId="43" fontId="6" fillId="5" borderId="1" xfId="4" applyFont="1" applyFill="1" applyBorder="1" applyAlignment="1">
      <alignment horizontal="center" vertical="top"/>
    </xf>
    <xf numFmtId="0" fontId="6" fillId="5" borderId="1" xfId="0" applyFont="1" applyFill="1" applyBorder="1" applyAlignment="1">
      <alignment horizontal="center" vertical="center"/>
    </xf>
    <xf numFmtId="43" fontId="6" fillId="5" borderId="1" xfId="4" applyFont="1" applyFill="1" applyBorder="1" applyAlignment="1">
      <alignment horizontal="center" vertical="center"/>
    </xf>
    <xf numFmtId="0" fontId="6" fillId="5" borderId="1" xfId="0" applyFont="1" applyFill="1" applyBorder="1" applyAlignment="1">
      <alignment horizontal="center" vertical="center" wrapText="1"/>
    </xf>
    <xf numFmtId="0" fontId="11" fillId="5" borderId="1" xfId="0" applyFont="1" applyFill="1" applyBorder="1" applyAlignment="1">
      <alignment horizontal="left" vertical="top" wrapText="1"/>
    </xf>
    <xf numFmtId="43" fontId="6" fillId="5" borderId="1" xfId="4" applyFont="1" applyFill="1" applyBorder="1" applyAlignment="1">
      <alignment horizontal="center" vertical="center" wrapText="1"/>
    </xf>
    <xf numFmtId="0" fontId="12" fillId="5" borderId="1" xfId="0" applyFont="1" applyFill="1" applyBorder="1" applyAlignment="1">
      <alignment horizontal="left" vertical="top" wrapText="1"/>
    </xf>
    <xf numFmtId="0" fontId="12" fillId="5" borderId="1" xfId="0" applyFont="1" applyFill="1" applyBorder="1" applyAlignment="1">
      <alignment horizontal="center" vertical="top" wrapText="1"/>
    </xf>
    <xf numFmtId="0" fontId="6" fillId="6" borderId="1" xfId="0" applyFont="1" applyFill="1" applyBorder="1" applyAlignment="1">
      <alignment horizontal="left" vertical="top" wrapText="1"/>
    </xf>
    <xf numFmtId="0" fontId="6" fillId="6" borderId="1" xfId="0" applyFont="1" applyFill="1" applyBorder="1" applyAlignment="1">
      <alignment vertical="top" wrapText="1"/>
    </xf>
    <xf numFmtId="0" fontId="6" fillId="5" borderId="1" xfId="0" applyFont="1" applyFill="1" applyBorder="1" applyAlignment="1">
      <alignment vertical="top" wrapText="1"/>
    </xf>
    <xf numFmtId="0" fontId="13" fillId="5" borderId="1" xfId="0" applyFont="1" applyFill="1" applyBorder="1" applyAlignment="1">
      <alignment horizontal="left" vertical="top" wrapText="1"/>
    </xf>
    <xf numFmtId="0" fontId="10" fillId="5" borderId="1" xfId="0" applyFont="1" applyFill="1" applyBorder="1" applyAlignment="1">
      <alignment horizontal="center" vertical="top" wrapText="1"/>
    </xf>
    <xf numFmtId="0" fontId="6" fillId="5" borderId="1" xfId="0" applyFont="1" applyFill="1" applyBorder="1" applyAlignment="1">
      <alignment vertical="top"/>
    </xf>
    <xf numFmtId="43" fontId="6" fillId="5" borderId="1" xfId="4" applyFont="1" applyFill="1" applyBorder="1" applyAlignment="1">
      <alignment vertical="top"/>
    </xf>
    <xf numFmtId="0" fontId="6" fillId="5" borderId="1" xfId="0" applyFont="1" applyFill="1" applyBorder="1" applyAlignment="1">
      <alignment vertical="center"/>
    </xf>
    <xf numFmtId="0" fontId="6" fillId="5" borderId="1" xfId="0" applyFont="1" applyFill="1" applyBorder="1" applyAlignment="1">
      <alignment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vertical="center" wrapText="1"/>
    </xf>
    <xf numFmtId="0" fontId="11" fillId="5" borderId="1" xfId="0" applyFont="1" applyFill="1" applyBorder="1" applyAlignment="1">
      <alignment vertical="center" wrapText="1"/>
    </xf>
    <xf numFmtId="43" fontId="11" fillId="5" borderId="1" xfId="4"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0" borderId="1" xfId="0" applyFont="1" applyBorder="1" applyAlignment="1">
      <alignment horizontal="center" vertical="top" wrapText="1"/>
    </xf>
    <xf numFmtId="0" fontId="14" fillId="5" borderId="1" xfId="0" applyFont="1" applyFill="1" applyBorder="1" applyAlignment="1">
      <alignment horizontal="left" vertical="top" wrapText="1"/>
    </xf>
    <xf numFmtId="0" fontId="11" fillId="5" borderId="1" xfId="0" applyFont="1" applyFill="1" applyBorder="1" applyAlignment="1">
      <alignment horizontal="center" vertical="top" wrapText="1"/>
    </xf>
    <xf numFmtId="0" fontId="11" fillId="6" borderId="1" xfId="0" applyFont="1" applyFill="1" applyBorder="1" applyAlignment="1">
      <alignment horizontal="left" vertical="top" wrapText="1"/>
    </xf>
    <xf numFmtId="43" fontId="6" fillId="5" borderId="1" xfId="4" applyFont="1" applyFill="1" applyBorder="1" applyAlignment="1">
      <alignment horizontal="center" vertical="center" wrapText="1"/>
    </xf>
    <xf numFmtId="0" fontId="11" fillId="5" borderId="1" xfId="0" applyFont="1" applyFill="1" applyBorder="1" applyAlignment="1">
      <alignment horizontal="left" vertical="top" wrapText="1"/>
    </xf>
    <xf numFmtId="0" fontId="13" fillId="5" borderId="1" xfId="0" applyFont="1" applyFill="1" applyBorder="1" applyAlignment="1">
      <alignment horizontal="left" vertical="top" wrapText="1"/>
    </xf>
    <xf numFmtId="0" fontId="10" fillId="5" borderId="1" xfId="0" applyFont="1" applyFill="1" applyBorder="1" applyAlignment="1">
      <alignment horizontal="center" vertical="top" wrapText="1"/>
    </xf>
    <xf numFmtId="0" fontId="6" fillId="5" borderId="1" xfId="0" applyFont="1" applyFill="1" applyBorder="1" applyAlignment="1">
      <alignment horizontal="left" vertical="top" wrapText="1"/>
    </xf>
    <xf numFmtId="0" fontId="11" fillId="5" borderId="1" xfId="0" applyFont="1" applyFill="1" applyBorder="1" applyAlignment="1">
      <alignment vertical="top" wrapText="1"/>
    </xf>
    <xf numFmtId="0" fontId="10" fillId="5" borderId="1" xfId="0" applyFont="1" applyFill="1" applyBorder="1" applyAlignment="1">
      <alignment horizontal="left" vertical="top" wrapText="1"/>
    </xf>
    <xf numFmtId="0" fontId="10" fillId="5" borderId="1" xfId="0" applyFont="1" applyFill="1" applyBorder="1" applyAlignment="1">
      <alignment horizontal="center" vertical="center" wrapText="1"/>
    </xf>
    <xf numFmtId="0" fontId="10" fillId="5" borderId="1" xfId="0" applyFont="1" applyFill="1" applyBorder="1" applyAlignment="1">
      <alignment vertical="center" wrapText="1"/>
    </xf>
    <xf numFmtId="0" fontId="10" fillId="5" borderId="1" xfId="0" applyFont="1" applyFill="1" applyBorder="1" applyAlignment="1">
      <alignment horizontal="center" vertical="center"/>
    </xf>
    <xf numFmtId="43" fontId="10" fillId="5" borderId="1" xfId="4" applyFont="1" applyFill="1" applyBorder="1" applyAlignment="1">
      <alignment horizontal="center" vertical="center"/>
    </xf>
    <xf numFmtId="0" fontId="10" fillId="0" borderId="17" xfId="9" applyFont="1" applyBorder="1" applyAlignment="1">
      <alignment horizontal="center" vertical="center" wrapText="1"/>
    </xf>
    <xf numFmtId="0" fontId="11" fillId="0" borderId="17" xfId="9" applyFont="1" applyBorder="1" applyAlignment="1">
      <alignment horizontal="center" vertical="center"/>
    </xf>
    <xf numFmtId="0" fontId="11" fillId="0" borderId="17" xfId="9" applyFont="1" applyBorder="1" applyAlignment="1">
      <alignment horizontal="center" vertical="center" wrapText="1"/>
    </xf>
    <xf numFmtId="0" fontId="6" fillId="0" borderId="1" xfId="9" applyFont="1" applyBorder="1" applyAlignment="1">
      <alignment horizontal="center" vertical="center" wrapText="1"/>
    </xf>
    <xf numFmtId="0" fontId="11" fillId="0" borderId="0" xfId="9" applyFont="1" applyAlignment="1">
      <alignment horizontal="center" vertical="center"/>
    </xf>
    <xf numFmtId="0" fontId="11" fillId="0" borderId="1" xfId="9" applyFont="1" applyBorder="1" applyAlignment="1">
      <alignment horizontal="center" vertical="center"/>
    </xf>
    <xf numFmtId="0" fontId="11" fillId="0" borderId="16" xfId="9" applyFont="1" applyBorder="1" applyAlignment="1">
      <alignment horizontal="center" vertical="center"/>
    </xf>
    <xf numFmtId="0" fontId="11" fillId="0" borderId="12" xfId="9" applyFont="1" applyBorder="1" applyAlignment="1">
      <alignment horizontal="center" vertical="center"/>
    </xf>
    <xf numFmtId="43" fontId="11" fillId="0" borderId="12" xfId="10" applyFont="1" applyBorder="1" applyAlignment="1">
      <alignment horizontal="center" vertical="center"/>
    </xf>
    <xf numFmtId="15" fontId="6" fillId="0" borderId="13" xfId="9" applyNumberFormat="1" applyFont="1" applyBorder="1" applyAlignment="1">
      <alignment horizontal="center" vertical="center" wrapText="1"/>
    </xf>
    <xf numFmtId="0" fontId="6" fillId="0" borderId="13" xfId="9" applyFont="1" applyBorder="1" applyAlignment="1">
      <alignment horizontal="center" vertical="center" wrapText="1"/>
    </xf>
    <xf numFmtId="0" fontId="11" fillId="0" borderId="13" xfId="9" applyFont="1" applyBorder="1" applyAlignment="1">
      <alignment horizontal="center" vertical="center" wrapText="1"/>
    </xf>
    <xf numFmtId="0" fontId="10" fillId="0" borderId="3" xfId="9" applyFont="1" applyBorder="1" applyAlignment="1">
      <alignment horizontal="center" vertical="center" wrapText="1"/>
    </xf>
    <xf numFmtId="0" fontId="11" fillId="0" borderId="3" xfId="9" applyFont="1" applyBorder="1" applyAlignment="1">
      <alignment horizontal="center" vertical="center"/>
    </xf>
    <xf numFmtId="0" fontId="11" fillId="0" borderId="3" xfId="9" applyFont="1" applyBorder="1" applyAlignment="1">
      <alignment horizontal="center" vertical="center" wrapText="1"/>
    </xf>
    <xf numFmtId="0" fontId="11" fillId="0" borderId="11" xfId="9" applyFont="1" applyBorder="1" applyAlignment="1">
      <alignment horizontal="center" vertical="center"/>
    </xf>
    <xf numFmtId="0" fontId="11" fillId="0" borderId="13" xfId="9" applyFont="1" applyBorder="1" applyAlignment="1">
      <alignment horizontal="center" vertical="center"/>
    </xf>
    <xf numFmtId="43" fontId="11" fillId="0" borderId="13" xfId="10" applyFont="1" applyBorder="1" applyAlignment="1">
      <alignment horizontal="center" vertical="center"/>
    </xf>
    <xf numFmtId="0" fontId="10" fillId="0" borderId="2" xfId="9" applyFont="1" applyBorder="1" applyAlignment="1">
      <alignment horizontal="center" vertical="center" wrapText="1"/>
    </xf>
    <xf numFmtId="0" fontId="11" fillId="0" borderId="2" xfId="9" applyFont="1" applyBorder="1" applyAlignment="1">
      <alignment horizontal="center" vertical="center"/>
    </xf>
    <xf numFmtId="0" fontId="11" fillId="0" borderId="2" xfId="9" applyFont="1" applyBorder="1" applyAlignment="1">
      <alignment horizontal="center" vertical="center" wrapText="1"/>
    </xf>
    <xf numFmtId="0" fontId="6" fillId="0" borderId="2" xfId="9" applyFont="1" applyBorder="1" applyAlignment="1">
      <alignment horizontal="center" vertical="center" wrapText="1"/>
    </xf>
    <xf numFmtId="0" fontId="11" fillId="0" borderId="18" xfId="9" applyFont="1" applyBorder="1" applyAlignment="1">
      <alignment horizontal="center" vertical="center"/>
    </xf>
    <xf numFmtId="0" fontId="11" fillId="0" borderId="2" xfId="9" applyFont="1" applyBorder="1" applyAlignment="1">
      <alignment horizontal="center"/>
    </xf>
    <xf numFmtId="0" fontId="11" fillId="0" borderId="19" xfId="9" applyFont="1" applyBorder="1" applyAlignment="1">
      <alignment horizontal="center" vertical="center"/>
    </xf>
    <xf numFmtId="0" fontId="11" fillId="0" borderId="15" xfId="9" applyFont="1" applyBorder="1" applyAlignment="1">
      <alignment horizontal="center" vertical="center"/>
    </xf>
    <xf numFmtId="43" fontId="11" fillId="0" borderId="15" xfId="10" applyFont="1" applyBorder="1" applyAlignment="1">
      <alignment horizontal="right" vertical="center"/>
    </xf>
    <xf numFmtId="15" fontId="6" fillId="0" borderId="15" xfId="9" applyNumberFormat="1" applyFont="1" applyBorder="1" applyAlignment="1">
      <alignment horizontal="center" vertical="center" wrapText="1"/>
    </xf>
    <xf numFmtId="0" fontId="6" fillId="0" borderId="15" xfId="9" applyFont="1" applyBorder="1" applyAlignment="1">
      <alignment horizontal="center" vertical="center" wrapText="1"/>
    </xf>
    <xf numFmtId="0" fontId="11" fillId="0" borderId="15" xfId="9" applyFont="1" applyBorder="1" applyAlignment="1">
      <alignment horizontal="center" vertical="center" wrapText="1"/>
    </xf>
    <xf numFmtId="0" fontId="10" fillId="0" borderId="1" xfId="9" applyFont="1" applyBorder="1" applyAlignment="1">
      <alignment horizontal="center" vertical="center" wrapText="1"/>
    </xf>
    <xf numFmtId="0" fontId="11" fillId="0" borderId="1" xfId="9" applyFont="1" applyBorder="1" applyAlignment="1">
      <alignment horizontal="center" vertical="center" wrapText="1"/>
    </xf>
    <xf numFmtId="43" fontId="11" fillId="0" borderId="1" xfId="10" applyFont="1" applyBorder="1" applyAlignment="1">
      <alignment horizontal="center" vertical="center"/>
    </xf>
    <xf numFmtId="15" fontId="6" fillId="0" borderId="1" xfId="9" applyNumberFormat="1" applyFont="1" applyBorder="1" applyAlignment="1">
      <alignment horizontal="center" vertical="center" wrapText="1"/>
    </xf>
    <xf numFmtId="43" fontId="6" fillId="0" borderId="1" xfId="10" applyFont="1" applyBorder="1" applyAlignment="1">
      <alignment horizontal="center" vertical="center" wrapText="1"/>
    </xf>
    <xf numFmtId="0" fontId="11" fillId="0" borderId="0" xfId="0" applyFont="1"/>
    <xf numFmtId="0" fontId="11" fillId="0" borderId="15" xfId="0" applyFont="1" applyBorder="1"/>
    <xf numFmtId="0" fontId="11" fillId="0" borderId="13" xfId="0" applyFont="1" applyBorder="1"/>
    <xf numFmtId="0" fontId="6" fillId="0" borderId="14" xfId="0" applyFont="1" applyBorder="1" applyAlignment="1">
      <alignment horizontal="center" wrapText="1"/>
    </xf>
    <xf numFmtId="0" fontId="10" fillId="0" borderId="2" xfId="0" applyFont="1" applyBorder="1" applyAlignment="1">
      <alignment horizontal="center" vertical="top" wrapText="1"/>
    </xf>
    <xf numFmtId="0" fontId="11" fillId="0" borderId="2" xfId="0" applyFont="1" applyBorder="1" applyAlignment="1">
      <alignment horizontal="center" vertical="top"/>
    </xf>
    <xf numFmtId="0" fontId="11" fillId="0" borderId="2" xfId="0" applyFont="1" applyBorder="1" applyAlignment="1">
      <alignment horizontal="center" vertical="top" wrapText="1"/>
    </xf>
    <xf numFmtId="0" fontId="6" fillId="0" borderId="1" xfId="0" applyFont="1" applyBorder="1" applyAlignment="1">
      <alignment horizontal="left" vertical="top" wrapText="1"/>
    </xf>
    <xf numFmtId="0" fontId="11" fillId="0" borderId="20" xfId="0" applyFont="1" applyBorder="1" applyAlignment="1">
      <alignment horizontal="center" vertical="center"/>
    </xf>
    <xf numFmtId="0" fontId="11" fillId="0" borderId="1" xfId="0" applyFont="1" applyBorder="1" applyAlignment="1">
      <alignment horizontal="center"/>
    </xf>
    <xf numFmtId="0" fontId="11" fillId="0" borderId="21" xfId="0" applyFont="1" applyBorder="1" applyAlignment="1">
      <alignment horizontal="center" vertical="center"/>
    </xf>
    <xf numFmtId="0" fontId="11" fillId="0" borderId="12" xfId="0" applyFont="1" applyBorder="1" applyAlignment="1">
      <alignment horizontal="center" vertical="center"/>
    </xf>
    <xf numFmtId="164" fontId="11" fillId="0" borderId="12" xfId="1" applyFont="1" applyBorder="1" applyAlignment="1">
      <alignment horizontal="right" vertical="center"/>
    </xf>
    <xf numFmtId="0" fontId="6" fillId="0" borderId="12" xfId="0" applyFont="1" applyBorder="1" applyAlignment="1">
      <alignment horizontal="center" vertical="center" wrapText="1"/>
    </xf>
    <xf numFmtId="0" fontId="11" fillId="0" borderId="12" xfId="0" applyFont="1" applyBorder="1" applyAlignment="1">
      <alignment horizontal="left" vertical="top" wrapText="1"/>
    </xf>
    <xf numFmtId="0" fontId="10" fillId="0" borderId="10" xfId="0" applyFont="1" applyBorder="1" applyAlignment="1">
      <alignment horizontal="center" vertical="top" wrapText="1"/>
    </xf>
    <xf numFmtId="0" fontId="11" fillId="0" borderId="10" xfId="0" applyFont="1" applyBorder="1" applyAlignment="1">
      <alignment horizontal="center" vertical="top"/>
    </xf>
    <xf numFmtId="0" fontId="11" fillId="0" borderId="10" xfId="0" applyFont="1" applyBorder="1" applyAlignment="1">
      <alignment horizontal="center" vertical="top" wrapText="1"/>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3" xfId="0" applyFont="1" applyBorder="1" applyAlignment="1">
      <alignment horizontal="center" vertical="center"/>
    </xf>
    <xf numFmtId="164" fontId="11" fillId="0" borderId="13" xfId="1" applyFont="1" applyBorder="1" applyAlignment="1">
      <alignment horizontal="right" vertical="center"/>
    </xf>
    <xf numFmtId="0" fontId="6" fillId="0" borderId="13" xfId="0" applyFont="1" applyBorder="1" applyAlignment="1">
      <alignment horizontal="center" vertical="center" wrapText="1"/>
    </xf>
    <xf numFmtId="0" fontId="11" fillId="0" borderId="13" xfId="0" applyFont="1" applyBorder="1" applyAlignment="1">
      <alignment horizontal="left" vertical="top" wrapText="1"/>
    </xf>
    <xf numFmtId="0" fontId="6" fillId="0" borderId="1" xfId="0" applyFont="1" applyBorder="1" applyAlignment="1">
      <alignment horizontal="left" vertical="top" wrapText="1"/>
    </xf>
    <xf numFmtId="0" fontId="11" fillId="0" borderId="11" xfId="0" applyFont="1" applyBorder="1" applyAlignment="1">
      <alignment horizontal="center" vertical="center"/>
    </xf>
    <xf numFmtId="0" fontId="11" fillId="0" borderId="1" xfId="0" applyFont="1" applyBorder="1" applyAlignment="1">
      <alignment horizontal="center"/>
    </xf>
    <xf numFmtId="0" fontId="11" fillId="0" borderId="16" xfId="0" applyFont="1" applyBorder="1" applyAlignment="1">
      <alignment horizontal="center" vertical="center"/>
    </xf>
    <xf numFmtId="0" fontId="11" fillId="0" borderId="13" xfId="0" applyFont="1" applyBorder="1" applyAlignment="1">
      <alignment horizontal="center" vertical="center"/>
    </xf>
    <xf numFmtId="164" fontId="11" fillId="0" borderId="13" xfId="1" applyFont="1" applyBorder="1" applyAlignment="1">
      <alignment horizontal="right" vertical="center"/>
    </xf>
    <xf numFmtId="0" fontId="6" fillId="0" borderId="13" xfId="0" applyFont="1" applyBorder="1" applyAlignment="1">
      <alignment horizontal="center" vertical="center" wrapText="1"/>
    </xf>
    <xf numFmtId="0" fontId="11" fillId="0" borderId="13" xfId="0" applyFont="1" applyBorder="1" applyAlignment="1">
      <alignment horizontal="left" vertical="top" wrapText="1"/>
    </xf>
    <xf numFmtId="0" fontId="6" fillId="0" borderId="2" xfId="0" applyFont="1" applyBorder="1" applyAlignment="1">
      <alignment horizontal="left" vertical="top" wrapText="1"/>
    </xf>
    <xf numFmtId="0" fontId="11" fillId="0" borderId="18" xfId="0" applyFont="1" applyBorder="1" applyAlignment="1">
      <alignment horizontal="center" vertical="center"/>
    </xf>
    <xf numFmtId="0" fontId="11" fillId="0" borderId="2" xfId="0" applyFont="1" applyBorder="1" applyAlignment="1">
      <alignment horizontal="center"/>
    </xf>
    <xf numFmtId="0" fontId="11" fillId="0" borderId="19" xfId="0" applyFont="1" applyBorder="1" applyAlignment="1">
      <alignment horizontal="center" vertical="center"/>
    </xf>
    <xf numFmtId="0" fontId="11" fillId="0" borderId="15" xfId="0" applyFont="1" applyBorder="1" applyAlignment="1">
      <alignment horizontal="center" vertical="center"/>
    </xf>
    <xf numFmtId="164" fontId="11" fillId="0" borderId="15" xfId="1" applyFont="1" applyBorder="1" applyAlignment="1">
      <alignment horizontal="right" vertical="center"/>
    </xf>
    <xf numFmtId="0" fontId="6" fillId="0" borderId="15" xfId="0" applyFont="1" applyBorder="1" applyAlignment="1">
      <alignment horizontal="center" vertical="center" wrapText="1"/>
    </xf>
    <xf numFmtId="0" fontId="11" fillId="0" borderId="15" xfId="0" applyFont="1" applyBorder="1" applyAlignment="1">
      <alignment horizontal="left" vertical="top" wrapText="1"/>
    </xf>
    <xf numFmtId="0" fontId="10" fillId="0" borderId="3" xfId="0" applyFont="1" applyBorder="1" applyAlignment="1">
      <alignment horizontal="center" vertical="top" wrapText="1"/>
    </xf>
    <xf numFmtId="0" fontId="11" fillId="0" borderId="3" xfId="0" applyFont="1" applyBorder="1" applyAlignment="1">
      <alignment horizontal="center" vertical="top"/>
    </xf>
    <xf numFmtId="0" fontId="11" fillId="0" borderId="3" xfId="0" applyFont="1" applyBorder="1" applyAlignment="1">
      <alignment horizontal="center" vertical="top" wrapText="1"/>
    </xf>
    <xf numFmtId="0" fontId="11" fillId="0" borderId="1" xfId="0" applyFont="1" applyBorder="1" applyAlignment="1">
      <alignment horizontal="center" vertical="center"/>
    </xf>
    <xf numFmtId="164" fontId="11" fillId="0" borderId="1" xfId="1" applyFont="1" applyBorder="1" applyAlignment="1">
      <alignment horizontal="right" vertical="center"/>
    </xf>
    <xf numFmtId="0" fontId="6" fillId="0" borderId="1" xfId="0" applyFont="1" applyBorder="1" applyAlignment="1">
      <alignment horizontal="center" vertical="center" wrapText="1"/>
    </xf>
    <xf numFmtId="0" fontId="11" fillId="0" borderId="1" xfId="0" applyFont="1" applyBorder="1" applyAlignment="1">
      <alignment horizontal="left" vertical="top" wrapText="1"/>
    </xf>
    <xf numFmtId="0" fontId="6" fillId="0" borderId="3" xfId="0" applyFont="1" applyBorder="1" applyAlignment="1">
      <alignment horizontal="left" vertical="top" wrapText="1"/>
    </xf>
    <xf numFmtId="0" fontId="11" fillId="0" borderId="3" xfId="0" applyFont="1" applyBorder="1" applyAlignment="1">
      <alignment horizontal="center" vertical="center"/>
    </xf>
    <xf numFmtId="0" fontId="11" fillId="0" borderId="16" xfId="0" applyFont="1" applyBorder="1"/>
    <xf numFmtId="4" fontId="11" fillId="0" borderId="13" xfId="0" applyNumberFormat="1" applyFont="1" applyBorder="1" applyAlignment="1">
      <alignment horizontal="right" vertical="center"/>
    </xf>
    <xf numFmtId="0" fontId="11" fillId="0" borderId="13" xfId="0" applyFont="1" applyBorder="1" applyAlignment="1">
      <alignment vertical="center" wrapText="1"/>
    </xf>
    <xf numFmtId="0" fontId="6" fillId="0" borderId="14" xfId="0" applyFont="1" applyBorder="1" applyAlignment="1">
      <alignment horizontal="center" vertical="center" wrapText="1"/>
    </xf>
    <xf numFmtId="0" fontId="12" fillId="0" borderId="2" xfId="0" applyFont="1" applyBorder="1" applyAlignment="1">
      <alignment horizontal="left" vertical="top" wrapText="1"/>
    </xf>
    <xf numFmtId="0" fontId="11" fillId="0" borderId="2" xfId="0" applyFont="1" applyBorder="1" applyAlignment="1">
      <alignment horizontal="left" vertical="top" wrapText="1"/>
    </xf>
    <xf numFmtId="0" fontId="12" fillId="0" borderId="10" xfId="0" applyFont="1" applyBorder="1" applyAlignment="1">
      <alignment horizontal="left" vertical="top" wrapText="1"/>
    </xf>
    <xf numFmtId="0" fontId="11" fillId="0" borderId="10" xfId="0" applyFont="1" applyBorder="1" applyAlignment="1">
      <alignment horizontal="left" vertical="top" wrapText="1"/>
    </xf>
    <xf numFmtId="0" fontId="12" fillId="0" borderId="2" xfId="0" applyFont="1" applyBorder="1" applyAlignment="1">
      <alignment horizontal="left" vertical="top" wrapText="1"/>
    </xf>
    <xf numFmtId="0" fontId="11" fillId="0" borderId="2" xfId="0" applyFont="1" applyBorder="1" applyAlignment="1">
      <alignment horizontal="center" vertical="top"/>
    </xf>
    <xf numFmtId="0" fontId="11" fillId="0" borderId="2" xfId="0" applyFont="1" applyBorder="1" applyAlignment="1">
      <alignment horizontal="left" vertical="top" wrapText="1"/>
    </xf>
    <xf numFmtId="0" fontId="10" fillId="0" borderId="2" xfId="0" applyFont="1" applyBorder="1" applyAlignment="1">
      <alignment horizontal="left" vertical="top" wrapText="1"/>
    </xf>
    <xf numFmtId="0" fontId="11" fillId="0" borderId="2" xfId="0" applyFont="1" applyBorder="1" applyAlignment="1">
      <alignment horizontal="left" vertical="top"/>
    </xf>
    <xf numFmtId="0" fontId="11" fillId="0" borderId="1" xfId="0" applyFont="1" applyBorder="1" applyAlignment="1">
      <alignment horizontal="center" vertical="center"/>
    </xf>
    <xf numFmtId="0" fontId="11" fillId="0" borderId="21" xfId="0" applyFont="1" applyBorder="1" applyAlignment="1">
      <alignment horizontal="center"/>
    </xf>
    <xf numFmtId="4" fontId="11" fillId="0" borderId="12" xfId="0" applyNumberFormat="1" applyFont="1" applyBorder="1" applyAlignment="1">
      <alignment horizontal="center" vertical="center" wrapText="1"/>
    </xf>
    <xf numFmtId="0" fontId="6" fillId="0" borderId="12" xfId="0" applyFont="1" applyBorder="1" applyAlignment="1">
      <alignment horizontal="center" vertical="center"/>
    </xf>
    <xf numFmtId="0" fontId="11" fillId="0" borderId="12" xfId="0" applyFont="1" applyBorder="1" applyAlignment="1">
      <alignment horizontal="center" vertical="center" wrapText="1"/>
    </xf>
    <xf numFmtId="0" fontId="10" fillId="0" borderId="3" xfId="0" applyFont="1" applyBorder="1" applyAlignment="1">
      <alignment horizontal="left" vertical="top" wrapText="1"/>
    </xf>
    <xf numFmtId="0" fontId="11" fillId="0" borderId="3" xfId="0" applyFont="1" applyBorder="1" applyAlignment="1">
      <alignment horizontal="left" vertical="top"/>
    </xf>
    <xf numFmtId="0" fontId="11" fillId="0" borderId="3" xfId="0" applyFont="1" applyBorder="1" applyAlignment="1">
      <alignment horizontal="left" vertical="top" wrapText="1"/>
    </xf>
    <xf numFmtId="0" fontId="11" fillId="0" borderId="22" xfId="0" applyFont="1" applyBorder="1" applyAlignment="1">
      <alignment horizontal="center"/>
    </xf>
    <xf numFmtId="0" fontId="11" fillId="0" borderId="23" xfId="0" applyFont="1" applyBorder="1" applyAlignment="1">
      <alignment horizontal="center" vertical="center"/>
    </xf>
    <xf numFmtId="4" fontId="11" fillId="0" borderId="13" xfId="0" applyNumberFormat="1" applyFont="1" applyBorder="1" applyAlignment="1">
      <alignment horizontal="center" vertical="center" wrapText="1"/>
    </xf>
    <xf numFmtId="0" fontId="6" fillId="0" borderId="13" xfId="0" applyFont="1" applyBorder="1" applyAlignment="1">
      <alignment horizontal="center" vertical="center"/>
    </xf>
    <xf numFmtId="0" fontId="11" fillId="0" borderId="13" xfId="0" applyFont="1" applyBorder="1" applyAlignment="1">
      <alignment horizontal="center" vertical="center" wrapText="1"/>
    </xf>
    <xf numFmtId="0" fontId="10" fillId="7" borderId="1" xfId="0" applyFont="1" applyFill="1" applyBorder="1" applyAlignment="1">
      <alignment horizontal="left" vertical="center"/>
    </xf>
    <xf numFmtId="0" fontId="6" fillId="7"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10" fillId="7" borderId="1" xfId="0" applyFont="1" applyFill="1" applyBorder="1" applyAlignment="1">
      <alignment horizontal="center" vertical="center"/>
    </xf>
    <xf numFmtId="1" fontId="6" fillId="7" borderId="1" xfId="0" applyNumberFormat="1" applyFont="1" applyFill="1" applyBorder="1" applyAlignment="1">
      <alignment horizontal="center" vertical="center"/>
    </xf>
    <xf numFmtId="0" fontId="6" fillId="7" borderId="1" xfId="0" applyFont="1" applyFill="1" applyBorder="1" applyAlignment="1">
      <alignment horizontal="right" vertical="center"/>
    </xf>
    <xf numFmtId="0" fontId="6" fillId="0" borderId="1" xfId="0" applyFont="1" applyBorder="1" applyAlignment="1">
      <alignment horizontal="left" vertical="center" wrapText="1"/>
    </xf>
    <xf numFmtId="43" fontId="6" fillId="7" borderId="1" xfId="4" applyFont="1" applyFill="1" applyBorder="1" applyAlignment="1">
      <alignment horizontal="center" vertical="center"/>
    </xf>
    <xf numFmtId="167" fontId="6" fillId="0" borderId="1" xfId="0" applyNumberFormat="1" applyFont="1" applyBorder="1" applyAlignment="1">
      <alignment horizontal="center" vertical="center" wrapText="1"/>
    </xf>
    <xf numFmtId="0" fontId="10" fillId="8" borderId="1" xfId="0" applyFont="1" applyFill="1" applyBorder="1" applyAlignment="1">
      <alignment vertical="center" wrapText="1"/>
    </xf>
    <xf numFmtId="0" fontId="10" fillId="8" borderId="1" xfId="0" applyFont="1" applyFill="1" applyBorder="1" applyAlignment="1">
      <alignment horizontal="left" vertical="center" wrapText="1"/>
    </xf>
    <xf numFmtId="0" fontId="10" fillId="8" borderId="1" xfId="0" applyFont="1" applyFill="1" applyBorder="1" applyAlignment="1">
      <alignment horizontal="center" vertical="center" wrapText="1"/>
    </xf>
    <xf numFmtId="4" fontId="10" fillId="8" borderId="1" xfId="0" applyNumberFormat="1" applyFont="1" applyFill="1" applyBorder="1" applyAlignment="1">
      <alignment horizontal="right" vertical="center"/>
    </xf>
    <xf numFmtId="167" fontId="6" fillId="8" borderId="1" xfId="0" applyNumberFormat="1" applyFont="1" applyFill="1" applyBorder="1" applyAlignment="1">
      <alignment horizontal="center" vertical="center" wrapText="1"/>
    </xf>
    <xf numFmtId="43" fontId="10" fillId="8" borderId="1" xfId="4" applyFont="1" applyFill="1" applyBorder="1" applyAlignment="1">
      <alignment horizontal="center" vertical="center"/>
    </xf>
    <xf numFmtId="4" fontId="10" fillId="8" borderId="1" xfId="0" applyNumberFormat="1" applyFont="1" applyFill="1" applyBorder="1" applyAlignment="1">
      <alignment horizontal="center" vertical="center"/>
    </xf>
    <xf numFmtId="0" fontId="10" fillId="7" borderId="1" xfId="0" applyFont="1" applyFill="1" applyBorder="1" applyAlignment="1">
      <alignment vertical="center"/>
    </xf>
    <xf numFmtId="0" fontId="6" fillId="7" borderId="1" xfId="0" applyFont="1" applyFill="1" applyBorder="1" applyAlignment="1">
      <alignment vertical="center"/>
    </xf>
    <xf numFmtId="0" fontId="6" fillId="0" borderId="1" xfId="0" applyFont="1" applyBorder="1" applyAlignment="1">
      <alignment vertical="center" wrapText="1"/>
    </xf>
    <xf numFmtId="0" fontId="6" fillId="7" borderId="1" xfId="0" applyFont="1" applyFill="1" applyBorder="1" applyAlignment="1">
      <alignment vertical="center" wrapText="1"/>
    </xf>
    <xf numFmtId="167" fontId="6" fillId="7" borderId="1" xfId="0" applyNumberFormat="1" applyFont="1" applyFill="1" applyBorder="1" applyAlignment="1">
      <alignment horizontal="center" vertical="center" wrapText="1"/>
    </xf>
    <xf numFmtId="4" fontId="6" fillId="7" borderId="1" xfId="0" applyNumberFormat="1" applyFont="1" applyFill="1" applyBorder="1" applyAlignment="1">
      <alignment horizontal="right" vertical="center"/>
    </xf>
    <xf numFmtId="4" fontId="6" fillId="0" borderId="1" xfId="0" applyNumberFormat="1" applyFont="1" applyBorder="1" applyAlignment="1">
      <alignment horizontal="center" vertical="center"/>
    </xf>
    <xf numFmtId="4" fontId="6" fillId="5" borderId="1" xfId="0" applyNumberFormat="1" applyFont="1" applyFill="1" applyBorder="1" applyAlignment="1">
      <alignment horizontal="center" vertical="center"/>
    </xf>
    <xf numFmtId="1" fontId="15" fillId="0" borderId="1" xfId="0" applyNumberFormat="1" applyFont="1" applyBorder="1" applyAlignment="1">
      <alignment horizontal="center" vertical="center"/>
    </xf>
    <xf numFmtId="4" fontId="15" fillId="0" borderId="1" xfId="0" applyNumberFormat="1" applyFont="1" applyBorder="1" applyAlignment="1">
      <alignment horizontal="right" vertical="center"/>
    </xf>
    <xf numFmtId="4" fontId="6" fillId="0" borderId="1" xfId="0" applyNumberFormat="1" applyFont="1" applyBorder="1" applyAlignment="1">
      <alignment horizontal="center" vertical="center" wrapText="1"/>
    </xf>
    <xf numFmtId="43" fontId="6" fillId="0" borderId="1" xfId="4" applyFont="1" applyFill="1" applyBorder="1" applyAlignment="1">
      <alignment horizontal="center" vertical="center" wrapText="1"/>
    </xf>
    <xf numFmtId="1" fontId="6" fillId="0" borderId="1" xfId="0" applyNumberFormat="1" applyFont="1" applyBorder="1" applyAlignment="1">
      <alignment horizontal="center" vertical="center"/>
    </xf>
    <xf numFmtId="4" fontId="6" fillId="0" borderId="1" xfId="0" applyNumberFormat="1" applyFont="1" applyBorder="1" applyAlignment="1">
      <alignment horizontal="right" vertical="center" wrapText="1"/>
    </xf>
    <xf numFmtId="1" fontId="6" fillId="0" borderId="1" xfId="0" applyNumberFormat="1" applyFont="1" applyBorder="1" applyAlignment="1">
      <alignment horizontal="left" vertical="center" wrapText="1"/>
    </xf>
    <xf numFmtId="43" fontId="6" fillId="0" borderId="1" xfId="4" applyFont="1" applyFill="1" applyBorder="1" applyAlignment="1">
      <alignment horizontal="right" vertical="center"/>
    </xf>
    <xf numFmtId="167" fontId="6" fillId="0" borderId="1" xfId="0" applyNumberFormat="1" applyFont="1" applyBorder="1" applyAlignment="1">
      <alignment horizontal="right" vertical="center" wrapText="1"/>
    </xf>
    <xf numFmtId="4" fontId="6" fillId="0" borderId="1" xfId="0" applyNumberFormat="1" applyFont="1" applyBorder="1" applyAlignment="1">
      <alignment horizontal="right" vertical="center"/>
    </xf>
    <xf numFmtId="4" fontId="6" fillId="8" borderId="1" xfId="0" applyNumberFormat="1" applyFont="1" applyFill="1" applyBorder="1" applyAlignment="1">
      <alignment horizontal="center" vertical="center" wrapText="1"/>
    </xf>
    <xf numFmtId="43" fontId="10" fillId="8" borderId="1" xfId="4" applyFont="1" applyFill="1" applyBorder="1" applyAlignment="1">
      <alignment horizontal="center" vertical="center" wrapText="1"/>
    </xf>
    <xf numFmtId="1" fontId="10" fillId="8" borderId="1" xfId="0" applyNumberFormat="1" applyFont="1" applyFill="1" applyBorder="1" applyAlignment="1">
      <alignment horizontal="center" vertical="center"/>
    </xf>
    <xf numFmtId="4" fontId="6" fillId="5" borderId="1" xfId="0" applyNumberFormat="1" applyFont="1" applyFill="1" applyBorder="1" applyAlignment="1">
      <alignment horizontal="center" vertical="center" wrapText="1"/>
    </xf>
    <xf numFmtId="1" fontId="6" fillId="7" borderId="1" xfId="0" applyNumberFormat="1" applyFont="1" applyFill="1" applyBorder="1" applyAlignment="1">
      <alignment horizontal="center"/>
    </xf>
    <xf numFmtId="4" fontId="6" fillId="7" borderId="1" xfId="0" applyNumberFormat="1" applyFont="1" applyFill="1" applyBorder="1" applyAlignment="1">
      <alignment horizontal="center" vertical="center"/>
    </xf>
    <xf numFmtId="43" fontId="6" fillId="0" borderId="1" xfId="4" applyFont="1" applyBorder="1" applyAlignment="1">
      <alignment horizontal="center" vertical="center" wrapText="1"/>
    </xf>
    <xf numFmtId="0" fontId="6" fillId="0" borderId="1" xfId="0" applyFont="1" applyBorder="1"/>
    <xf numFmtId="43" fontId="6" fillId="7" borderId="1" xfId="4" applyFont="1" applyFill="1" applyBorder="1" applyAlignment="1">
      <alignment vertical="center" wrapText="1"/>
    </xf>
    <xf numFmtId="43" fontId="6" fillId="0" borderId="1" xfId="4" applyFont="1" applyBorder="1" applyAlignment="1">
      <alignment horizontal="right" vertical="center" wrapText="1"/>
    </xf>
    <xf numFmtId="4" fontId="6" fillId="5" borderId="1" xfId="0" applyNumberFormat="1" applyFont="1" applyFill="1" applyBorder="1" applyAlignment="1">
      <alignment horizontal="right" vertical="center" wrapText="1"/>
    </xf>
    <xf numFmtId="0" fontId="10" fillId="5" borderId="1" xfId="0" applyFont="1" applyFill="1" applyBorder="1" applyAlignment="1">
      <alignment vertical="center"/>
    </xf>
    <xf numFmtId="0" fontId="6" fillId="5" borderId="1" xfId="0" applyFont="1" applyFill="1" applyBorder="1" applyAlignment="1">
      <alignment horizontal="left" vertical="center" wrapText="1"/>
    </xf>
    <xf numFmtId="1" fontId="6" fillId="5" borderId="1" xfId="0" applyNumberFormat="1" applyFont="1" applyFill="1" applyBorder="1" applyAlignment="1">
      <alignment horizontal="center" vertical="center"/>
    </xf>
    <xf numFmtId="4" fontId="6" fillId="5" borderId="1" xfId="0" applyNumberFormat="1" applyFont="1" applyFill="1" applyBorder="1" applyAlignment="1">
      <alignment horizontal="right" vertical="center"/>
    </xf>
    <xf numFmtId="167" fontId="6" fillId="5" borderId="1" xfId="0" applyNumberFormat="1" applyFont="1" applyFill="1" applyBorder="1" applyAlignment="1">
      <alignment horizontal="center" vertical="center" wrapText="1"/>
    </xf>
    <xf numFmtId="1" fontId="6" fillId="0" borderId="1" xfId="0" applyNumberFormat="1" applyFont="1" applyBorder="1" applyAlignment="1">
      <alignment horizontal="center" vertical="center" wrapText="1"/>
    </xf>
    <xf numFmtId="43" fontId="6" fillId="0" borderId="1" xfId="4" applyFont="1" applyFill="1" applyBorder="1" applyAlignment="1">
      <alignment horizontal="center" vertical="center"/>
    </xf>
    <xf numFmtId="164" fontId="10" fillId="8" borderId="1" xfId="0" applyNumberFormat="1" applyFont="1" applyFill="1" applyBorder="1" applyAlignment="1">
      <alignment vertical="center" wrapText="1"/>
    </xf>
    <xf numFmtId="0" fontId="6" fillId="8" borderId="1" xfId="0" applyFont="1" applyFill="1" applyBorder="1" applyAlignment="1">
      <alignment horizontal="left" vertical="top" wrapText="1"/>
    </xf>
    <xf numFmtId="0" fontId="6" fillId="8"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43" fontId="10" fillId="8" borderId="1" xfId="4" applyFont="1" applyFill="1" applyBorder="1" applyAlignment="1">
      <alignment horizontal="left" vertical="center" wrapText="1"/>
    </xf>
    <xf numFmtId="0" fontId="6" fillId="7" borderId="1" xfId="0" applyFont="1" applyFill="1" applyBorder="1" applyAlignment="1">
      <alignment horizontal="left" vertical="top" wrapText="1"/>
    </xf>
    <xf numFmtId="43" fontId="6" fillId="0" borderId="1" xfId="4" applyFont="1" applyFill="1" applyBorder="1" applyAlignment="1">
      <alignment horizontal="left" vertical="center" wrapText="1"/>
    </xf>
    <xf numFmtId="43" fontId="6" fillId="0" borderId="1" xfId="4" applyFont="1" applyFill="1" applyBorder="1" applyAlignment="1">
      <alignment vertical="center" wrapText="1"/>
    </xf>
    <xf numFmtId="0" fontId="6" fillId="8" borderId="1" xfId="0" applyFont="1" applyFill="1" applyBorder="1" applyAlignment="1">
      <alignment vertical="center" wrapText="1"/>
    </xf>
    <xf numFmtId="0" fontId="6" fillId="7" borderId="1" xfId="0" applyFont="1" applyFill="1" applyBorder="1" applyAlignment="1">
      <alignment horizontal="center"/>
    </xf>
    <xf numFmtId="0" fontId="6" fillId="7" borderId="1" xfId="0" applyFont="1" applyFill="1" applyBorder="1"/>
    <xf numFmtId="0" fontId="6" fillId="0" borderId="1" xfId="0" applyFont="1" applyBorder="1" applyAlignment="1">
      <alignment horizontal="center" vertical="center"/>
    </xf>
    <xf numFmtId="167" fontId="6" fillId="0" borderId="1" xfId="0" applyNumberFormat="1" applyFont="1" applyBorder="1" applyAlignment="1">
      <alignment vertical="center" wrapText="1"/>
    </xf>
    <xf numFmtId="164" fontId="10" fillId="9" borderId="1" xfId="0" applyNumberFormat="1" applyFont="1" applyFill="1" applyBorder="1" applyAlignment="1">
      <alignment vertical="center" wrapText="1"/>
    </xf>
    <xf numFmtId="0" fontId="10" fillId="9" borderId="1" xfId="0" applyFont="1" applyFill="1" applyBorder="1" applyAlignment="1">
      <alignment horizontal="left" vertical="top" wrapText="1"/>
    </xf>
    <xf numFmtId="0" fontId="10" fillId="9" borderId="1" xfId="0" applyFont="1" applyFill="1" applyBorder="1" applyAlignment="1">
      <alignment vertical="center" wrapText="1"/>
    </xf>
    <xf numFmtId="0" fontId="10" fillId="9" borderId="1" xfId="0" applyFont="1" applyFill="1" applyBorder="1" applyAlignment="1">
      <alignment horizontal="center"/>
    </xf>
    <xf numFmtId="4" fontId="10" fillId="9" borderId="1" xfId="0" applyNumberFormat="1" applyFont="1" applyFill="1" applyBorder="1" applyAlignment="1">
      <alignment horizontal="right" vertical="center"/>
    </xf>
    <xf numFmtId="0" fontId="10" fillId="9" borderId="1" xfId="0" applyFont="1" applyFill="1" applyBorder="1"/>
    <xf numFmtId="43" fontId="10" fillId="9" borderId="1" xfId="4" applyFont="1" applyFill="1" applyBorder="1" applyAlignment="1">
      <alignment vertical="center"/>
    </xf>
    <xf numFmtId="164" fontId="10" fillId="7" borderId="1" xfId="0" applyNumberFormat="1" applyFont="1" applyFill="1" applyBorder="1" applyAlignment="1">
      <alignment vertical="center"/>
    </xf>
    <xf numFmtId="0" fontId="10" fillId="7" borderId="1" xfId="0" applyFont="1" applyFill="1" applyBorder="1" applyAlignment="1">
      <alignment vertical="center" wrapText="1"/>
    </xf>
    <xf numFmtId="164" fontId="6" fillId="0" borderId="1" xfId="0" applyNumberFormat="1" applyFont="1" applyBorder="1" applyAlignment="1">
      <alignment vertical="center" wrapText="1"/>
    </xf>
    <xf numFmtId="0" fontId="6" fillId="0" borderId="1" xfId="0" applyFont="1" applyBorder="1" applyAlignment="1">
      <alignment vertical="center"/>
    </xf>
    <xf numFmtId="43" fontId="6" fillId="0" borderId="1" xfId="4" applyFont="1" applyFill="1" applyBorder="1" applyAlignment="1">
      <alignment vertical="center"/>
    </xf>
    <xf numFmtId="3" fontId="6" fillId="0" borderId="1" xfId="0" applyNumberFormat="1" applyFont="1" applyBorder="1" applyAlignment="1">
      <alignment horizontal="center" vertical="center"/>
    </xf>
    <xf numFmtId="0" fontId="10" fillId="9" borderId="1" xfId="0" applyFont="1" applyFill="1" applyBorder="1" applyAlignment="1">
      <alignment horizontal="left" vertical="center" wrapText="1"/>
    </xf>
    <xf numFmtId="0" fontId="10" fillId="9" borderId="1" xfId="0" applyFont="1" applyFill="1" applyBorder="1" applyAlignment="1">
      <alignment horizontal="center" vertical="center"/>
    </xf>
    <xf numFmtId="0" fontId="10" fillId="9" borderId="1" xfId="0" applyFont="1" applyFill="1" applyBorder="1" applyAlignment="1">
      <alignment vertical="center"/>
    </xf>
    <xf numFmtId="3" fontId="10" fillId="9" borderId="1" xfId="0" applyNumberFormat="1" applyFont="1" applyFill="1" applyBorder="1" applyAlignment="1">
      <alignment horizontal="center" vertical="center"/>
    </xf>
    <xf numFmtId="43" fontId="10" fillId="9" borderId="1" xfId="4" applyFont="1" applyFill="1" applyBorder="1" applyAlignment="1">
      <alignment horizontal="center" vertical="center"/>
    </xf>
    <xf numFmtId="4" fontId="10" fillId="9" borderId="1" xfId="0" applyNumberFormat="1" applyFont="1" applyFill="1" applyBorder="1" applyAlignment="1">
      <alignment horizontal="center" vertical="center"/>
    </xf>
    <xf numFmtId="0" fontId="10" fillId="5" borderId="1" xfId="0" applyFont="1" applyFill="1" applyBorder="1" applyAlignment="1">
      <alignment horizontal="left" vertical="center"/>
    </xf>
    <xf numFmtId="164" fontId="6" fillId="0" borderId="1" xfId="0" applyNumberFormat="1" applyFont="1" applyBorder="1" applyAlignment="1">
      <alignment horizontal="right" vertical="center"/>
    </xf>
    <xf numFmtId="164" fontId="6" fillId="0" borderId="1" xfId="0" applyNumberFormat="1" applyFont="1" applyBorder="1" applyAlignment="1">
      <alignment horizontal="left" vertical="center" wrapText="1"/>
    </xf>
    <xf numFmtId="164" fontId="6" fillId="7" borderId="1" xfId="0" applyNumberFormat="1" applyFont="1" applyFill="1" applyBorder="1" applyAlignment="1">
      <alignment vertical="center" wrapText="1"/>
    </xf>
    <xf numFmtId="0" fontId="6" fillId="7" borderId="1" xfId="0" applyFont="1" applyFill="1" applyBorder="1" applyAlignment="1">
      <alignment horizontal="center" vertical="center"/>
    </xf>
    <xf numFmtId="3" fontId="6" fillId="7" borderId="1" xfId="0" applyNumberFormat="1" applyFont="1" applyFill="1" applyBorder="1" applyAlignment="1">
      <alignment horizontal="center" vertical="center"/>
    </xf>
    <xf numFmtId="0" fontId="10" fillId="10" borderId="1" xfId="0" applyFont="1" applyFill="1" applyBorder="1" applyAlignment="1">
      <alignment vertical="center"/>
    </xf>
    <xf numFmtId="0" fontId="10" fillId="10" borderId="1" xfId="0" applyFont="1" applyFill="1" applyBorder="1" applyAlignment="1">
      <alignment vertical="center" wrapText="1"/>
    </xf>
    <xf numFmtId="0" fontId="10" fillId="10" borderId="1" xfId="0" applyFont="1" applyFill="1" applyBorder="1" applyAlignment="1">
      <alignment horizontal="center" vertical="center"/>
    </xf>
    <xf numFmtId="43" fontId="10" fillId="10" borderId="1" xfId="0" applyNumberFormat="1" applyFont="1" applyFill="1" applyBorder="1" applyAlignment="1">
      <alignment vertical="center"/>
    </xf>
    <xf numFmtId="1" fontId="10" fillId="10" borderId="1" xfId="0" applyNumberFormat="1" applyFont="1" applyFill="1" applyBorder="1" applyAlignment="1">
      <alignment horizontal="center" vertical="center"/>
    </xf>
    <xf numFmtId="43" fontId="10" fillId="10" borderId="1" xfId="4" applyFont="1" applyFill="1" applyBorder="1" applyAlignment="1">
      <alignment horizontal="center" vertical="center"/>
    </xf>
    <xf numFmtId="4" fontId="10" fillId="10" borderId="1" xfId="0" applyNumberFormat="1" applyFont="1" applyFill="1" applyBorder="1" applyAlignment="1">
      <alignment horizontal="center" vertical="center"/>
    </xf>
    <xf numFmtId="0" fontId="10" fillId="0" borderId="1" xfId="0" applyFont="1" applyBorder="1" applyAlignment="1">
      <alignment vertical="top" wrapText="1"/>
    </xf>
    <xf numFmtId="0" fontId="6" fillId="0" borderId="1" xfId="0" applyFont="1" applyBorder="1" applyAlignment="1">
      <alignment vertical="top"/>
    </xf>
    <xf numFmtId="0" fontId="6" fillId="0" borderId="1" xfId="0" applyFont="1" applyBorder="1" applyAlignment="1">
      <alignment horizontal="center" vertical="top"/>
    </xf>
    <xf numFmtId="168" fontId="6" fillId="0" borderId="1" xfId="0" applyNumberFormat="1" applyFont="1" applyBorder="1" applyAlignment="1">
      <alignment vertical="top" wrapText="1"/>
    </xf>
    <xf numFmtId="0" fontId="12" fillId="0" borderId="1" xfId="0" applyFont="1" applyBorder="1" applyAlignment="1">
      <alignment vertical="center" wrapText="1"/>
    </xf>
    <xf numFmtId="0" fontId="16" fillId="0" borderId="1" xfId="0" applyFont="1" applyBorder="1" applyAlignment="1">
      <alignment vertical="top" wrapText="1"/>
    </xf>
    <xf numFmtId="0" fontId="11" fillId="0" borderId="1" xfId="0" applyFont="1" applyBorder="1" applyAlignment="1">
      <alignment vertical="top" wrapText="1"/>
    </xf>
    <xf numFmtId="43" fontId="11" fillId="0" borderId="1" xfId="10" applyFont="1" applyBorder="1" applyAlignment="1">
      <alignment horizontal="right" vertical="top" wrapText="1"/>
    </xf>
    <xf numFmtId="0" fontId="11" fillId="0" borderId="1" xfId="0" applyFont="1" applyBorder="1" applyAlignment="1">
      <alignment horizontal="center" vertical="top" wrapText="1"/>
    </xf>
    <xf numFmtId="168" fontId="11" fillId="0" borderId="1" xfId="0" applyNumberFormat="1" applyFont="1" applyBorder="1" applyAlignment="1">
      <alignment vertical="top" wrapText="1"/>
    </xf>
    <xf numFmtId="168" fontId="6" fillId="0" borderId="1" xfId="0" applyNumberFormat="1" applyFont="1" applyBorder="1" applyAlignment="1">
      <alignment horizontal="right" vertical="top" wrapText="1"/>
    </xf>
    <xf numFmtId="0" fontId="12" fillId="0" borderId="1" xfId="0" applyFont="1" applyBorder="1" applyAlignment="1">
      <alignment vertical="top" wrapText="1"/>
    </xf>
    <xf numFmtId="0" fontId="11" fillId="0" borderId="1" xfId="0" applyFont="1" applyBorder="1" applyAlignment="1">
      <alignment horizontal="center" vertical="top"/>
    </xf>
    <xf numFmtId="0" fontId="6" fillId="0" borderId="11" xfId="0" applyFont="1" applyBorder="1" applyAlignment="1">
      <alignment horizontal="center" vertical="top" wrapText="1"/>
    </xf>
    <xf numFmtId="43" fontId="6" fillId="0" borderId="1" xfId="10" applyFont="1" applyBorder="1" applyAlignment="1">
      <alignment horizontal="right" vertical="top" wrapText="1"/>
    </xf>
    <xf numFmtId="43" fontId="6" fillId="0" borderId="1" xfId="10" applyFont="1" applyBorder="1" applyAlignment="1">
      <alignment vertical="top" wrapText="1"/>
    </xf>
    <xf numFmtId="0" fontId="6" fillId="0" borderId="1" xfId="0" applyFont="1" applyBorder="1" applyAlignment="1">
      <alignment horizontal="center" wrapText="1"/>
    </xf>
    <xf numFmtId="0" fontId="10" fillId="11" borderId="1" xfId="0" applyFont="1" applyFill="1" applyBorder="1" applyAlignment="1">
      <alignment horizontal="left" vertical="center" wrapText="1"/>
    </xf>
    <xf numFmtId="0" fontId="10" fillId="11" borderId="1" xfId="0" applyFont="1" applyFill="1" applyBorder="1" applyAlignment="1">
      <alignment horizontal="center" vertical="center" wrapText="1"/>
    </xf>
    <xf numFmtId="0" fontId="10" fillId="11" borderId="1" xfId="0" applyFont="1" applyFill="1" applyBorder="1" applyAlignment="1">
      <alignment horizontal="center" vertical="center"/>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top" wrapText="1"/>
    </xf>
    <xf numFmtId="0" fontId="6" fillId="0" borderId="2" xfId="0" applyFont="1" applyBorder="1" applyAlignment="1">
      <alignment horizontal="center" vertical="center" wrapText="1"/>
    </xf>
    <xf numFmtId="0" fontId="6" fillId="0" borderId="2" xfId="0" applyFont="1" applyBorder="1" applyAlignment="1">
      <alignment horizontal="left" vertical="top" wrapText="1"/>
    </xf>
    <xf numFmtId="0" fontId="6" fillId="0" borderId="10" xfId="0" applyFont="1" applyBorder="1" applyAlignment="1">
      <alignment horizontal="center" vertical="center" wrapText="1"/>
    </xf>
    <xf numFmtId="0" fontId="6" fillId="0" borderId="10" xfId="0" applyFont="1" applyBorder="1" applyAlignment="1">
      <alignment horizontal="left" vertical="top" wrapText="1"/>
    </xf>
    <xf numFmtId="0" fontId="6" fillId="0" borderId="3" xfId="0" applyFont="1" applyBorder="1" applyAlignment="1">
      <alignment horizontal="left" vertical="top" wrapText="1"/>
    </xf>
    <xf numFmtId="0" fontId="6" fillId="0" borderId="3" xfId="0" applyFont="1" applyBorder="1" applyAlignment="1">
      <alignment horizontal="center" vertical="center" wrapText="1"/>
    </xf>
    <xf numFmtId="0" fontId="10" fillId="0" borderId="2" xfId="0" applyFont="1" applyBorder="1" applyAlignment="1">
      <alignment horizontal="left" vertical="top" wrapText="1"/>
    </xf>
    <xf numFmtId="0" fontId="10" fillId="0" borderId="2" xfId="0" applyFont="1" applyBorder="1" applyAlignment="1">
      <alignment horizontal="center" vertical="center" wrapText="1"/>
    </xf>
    <xf numFmtId="0" fontId="6" fillId="0" borderId="2" xfId="0" applyFont="1" applyBorder="1" applyAlignment="1">
      <alignment horizontal="center" vertical="center" wrapText="1"/>
    </xf>
    <xf numFmtId="43" fontId="6" fillId="0" borderId="2" xfId="4" applyFont="1" applyBorder="1" applyAlignment="1">
      <alignment horizontal="center" vertical="center" wrapText="1"/>
    </xf>
    <xf numFmtId="0" fontId="10" fillId="0" borderId="3" xfId="0" applyFont="1" applyBorder="1" applyAlignment="1">
      <alignment horizontal="left" vertical="top" wrapText="1"/>
    </xf>
    <xf numFmtId="0" fontId="10" fillId="0" borderId="3" xfId="0" applyFont="1" applyBorder="1" applyAlignment="1">
      <alignment horizontal="center" vertical="center" wrapText="1"/>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43" fontId="6" fillId="0" borderId="3" xfId="4" applyFont="1" applyBorder="1" applyAlignment="1">
      <alignment horizontal="center" vertical="center" wrapText="1"/>
    </xf>
    <xf numFmtId="0" fontId="6" fillId="0" borderId="2" xfId="0" applyFont="1" applyBorder="1" applyAlignment="1">
      <alignment vertical="top" wrapText="1"/>
    </xf>
    <xf numFmtId="0" fontId="6" fillId="0" borderId="1" xfId="0" applyFont="1" applyBorder="1" applyAlignment="1">
      <alignment horizontal="center" vertical="top" wrapText="1"/>
    </xf>
    <xf numFmtId="4" fontId="6" fillId="0" borderId="1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 xfId="0" applyFont="1" applyBorder="1" applyAlignment="1">
      <alignment horizontal="center" vertical="center"/>
    </xf>
    <xf numFmtId="4" fontId="6" fillId="0" borderId="1" xfId="0" applyNumberFormat="1" applyFont="1" applyBorder="1" applyAlignment="1">
      <alignment vertical="center" wrapText="1"/>
    </xf>
    <xf numFmtId="43" fontId="6" fillId="0" borderId="1" xfId="4" applyFont="1" applyBorder="1" applyAlignment="1">
      <alignment vertical="center" wrapText="1"/>
    </xf>
    <xf numFmtId="0" fontId="6" fillId="0" borderId="3" xfId="0" applyFont="1" applyBorder="1" applyAlignment="1">
      <alignment horizontal="left" vertical="center" wrapText="1"/>
    </xf>
    <xf numFmtId="0" fontId="6" fillId="0" borderId="3" xfId="0" applyFont="1" applyBorder="1" applyAlignment="1">
      <alignment horizontal="center" vertical="top"/>
    </xf>
    <xf numFmtId="0" fontId="6" fillId="0" borderId="3" xfId="0" applyFont="1" applyBorder="1" applyAlignment="1">
      <alignment horizontal="center" vertical="top" wrapText="1"/>
    </xf>
    <xf numFmtId="9" fontId="6" fillId="0" borderId="1" xfId="0" applyNumberFormat="1" applyFont="1" applyBorder="1" applyAlignment="1">
      <alignment vertical="center" wrapText="1"/>
    </xf>
    <xf numFmtId="0" fontId="6" fillId="0" borderId="1" xfId="0" applyFont="1" applyBorder="1" applyAlignment="1">
      <alignment horizontal="left" vertical="top" wrapText="1" indent="1"/>
    </xf>
    <xf numFmtId="0" fontId="6" fillId="0" borderId="2" xfId="0" applyFont="1" applyBorder="1" applyAlignment="1">
      <alignment horizontal="left" vertical="top" wrapText="1" indent="1"/>
    </xf>
    <xf numFmtId="164" fontId="6" fillId="0" borderId="1" xfId="1" applyFont="1" applyBorder="1" applyAlignment="1">
      <alignment horizontal="center" vertical="center" wrapText="1"/>
    </xf>
    <xf numFmtId="17" fontId="6" fillId="0" borderId="1" xfId="0" applyNumberFormat="1" applyFont="1" applyBorder="1" applyAlignment="1">
      <alignment horizontal="center" vertical="center" wrapText="1"/>
    </xf>
    <xf numFmtId="0" fontId="6" fillId="0" borderId="1" xfId="0" applyFont="1" applyBorder="1" applyAlignment="1">
      <alignment horizontal="left" vertical="center" wrapText="1" indent="1"/>
    </xf>
    <xf numFmtId="0" fontId="6" fillId="0" borderId="10" xfId="0" applyFont="1" applyBorder="1" applyAlignment="1">
      <alignment horizontal="left" vertical="top" wrapText="1" indent="1"/>
    </xf>
    <xf numFmtId="0" fontId="6" fillId="0" borderId="3" xfId="0" applyFont="1" applyBorder="1" applyAlignment="1">
      <alignment horizontal="left" vertical="top" wrapText="1" indent="1"/>
    </xf>
    <xf numFmtId="0" fontId="6" fillId="0" borderId="2" xfId="0" applyFont="1" applyBorder="1" applyAlignment="1">
      <alignment horizontal="left" vertical="top" wrapText="1" indent="1"/>
    </xf>
    <xf numFmtId="0" fontId="6" fillId="0" borderId="10" xfId="0" applyFont="1" applyBorder="1" applyAlignment="1">
      <alignment horizontal="left" vertical="top" wrapText="1" indent="1"/>
    </xf>
    <xf numFmtId="164" fontId="6" fillId="0" borderId="1" xfId="1" applyFont="1" applyBorder="1" applyAlignment="1">
      <alignment horizontal="left" vertical="center" wrapText="1" indent="1"/>
    </xf>
    <xf numFmtId="0" fontId="6" fillId="0" borderId="10" xfId="0" applyFont="1" applyBorder="1" applyAlignment="1">
      <alignment horizontal="center" vertical="center" wrapText="1"/>
    </xf>
    <xf numFmtId="0" fontId="6" fillId="0" borderId="3" xfId="0" applyFont="1" applyBorder="1" applyAlignment="1">
      <alignment horizontal="left" vertical="top" wrapText="1" indent="1"/>
    </xf>
    <xf numFmtId="0" fontId="11" fillId="0" borderId="0" xfId="0" applyFont="1" applyAlignment="1">
      <alignment vertical="top" wrapText="1"/>
    </xf>
    <xf numFmtId="0" fontId="6" fillId="0" borderId="0" xfId="0" applyFont="1" applyAlignment="1">
      <alignment horizontal="center" vertical="top"/>
    </xf>
    <xf numFmtId="0" fontId="6" fillId="0" borderId="0" xfId="0" applyFont="1" applyAlignment="1">
      <alignment vertical="top" wrapText="1"/>
    </xf>
    <xf numFmtId="0" fontId="6" fillId="0" borderId="0" xfId="0" applyFont="1" applyAlignment="1">
      <alignment horizontal="center" vertical="top" wrapText="1"/>
    </xf>
    <xf numFmtId="43" fontId="6" fillId="0" borderId="0" xfId="10" applyFont="1" applyBorder="1" applyAlignment="1">
      <alignment vertical="top" wrapText="1"/>
    </xf>
    <xf numFmtId="0" fontId="6" fillId="0" borderId="0" xfId="0" applyFont="1" applyAlignment="1">
      <alignment horizontal="center" wrapText="1"/>
    </xf>
    <xf numFmtId="0" fontId="10" fillId="0" borderId="1" xfId="0" applyFont="1" applyBorder="1" applyAlignment="1">
      <alignment horizontal="center" vertical="center"/>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0" fontId="6" fillId="0" borderId="1" xfId="0" quotePrefix="1" applyFont="1" applyBorder="1" applyAlignment="1">
      <alignment horizontal="center" vertical="center" wrapText="1"/>
    </xf>
    <xf numFmtId="164" fontId="6" fillId="0" borderId="1" xfId="1" quotePrefix="1" applyFont="1" applyBorder="1" applyAlignment="1">
      <alignment horizontal="center" vertical="center" wrapText="1"/>
    </xf>
    <xf numFmtId="0" fontId="17" fillId="0" borderId="1" xfId="0" applyFont="1" applyBorder="1" applyAlignment="1">
      <alignment horizontal="left" vertical="top" wrapText="1"/>
    </xf>
    <xf numFmtId="164" fontId="6" fillId="0" borderId="1" xfId="1" applyFont="1" applyBorder="1" applyAlignment="1">
      <alignment horizontal="center" vertical="top" wrapText="1"/>
    </xf>
    <xf numFmtId="9" fontId="6" fillId="0" borderId="1" xfId="0" applyNumberFormat="1" applyFont="1" applyBorder="1" applyAlignment="1">
      <alignment horizontal="left" vertical="top" wrapText="1"/>
    </xf>
    <xf numFmtId="164" fontId="11" fillId="0" borderId="1" xfId="1" applyFont="1" applyBorder="1" applyAlignment="1">
      <alignment horizontal="center" vertical="top" wrapText="1"/>
    </xf>
    <xf numFmtId="0" fontId="10" fillId="5" borderId="26" xfId="0" applyFont="1" applyFill="1" applyBorder="1" applyAlignment="1">
      <alignment horizontal="left" vertical="top" wrapText="1"/>
    </xf>
    <xf numFmtId="0" fontId="10" fillId="5" borderId="27" xfId="0" applyFont="1" applyFill="1" applyBorder="1" applyAlignment="1">
      <alignment horizontal="left" vertical="top" wrapText="1"/>
    </xf>
    <xf numFmtId="0" fontId="10" fillId="5" borderId="28" xfId="0" applyFont="1" applyFill="1" applyBorder="1" applyAlignment="1">
      <alignment horizontal="left" vertical="top" wrapText="1"/>
    </xf>
    <xf numFmtId="0" fontId="6" fillId="12" borderId="26" xfId="0" applyFont="1" applyFill="1" applyBorder="1" applyAlignment="1">
      <alignment horizontal="left" vertical="top" wrapText="1"/>
    </xf>
    <xf numFmtId="0" fontId="6" fillId="12" borderId="27" xfId="0" applyFont="1" applyFill="1" applyBorder="1" applyAlignment="1">
      <alignment horizontal="left" vertical="top" wrapText="1"/>
    </xf>
    <xf numFmtId="0" fontId="6" fillId="12" borderId="28" xfId="0" applyFont="1" applyFill="1" applyBorder="1" applyAlignment="1">
      <alignment horizontal="left" vertical="top" wrapText="1"/>
    </xf>
    <xf numFmtId="0" fontId="6" fillId="0" borderId="14" xfId="0" applyFont="1" applyBorder="1" applyAlignment="1">
      <alignment vertical="top" wrapText="1"/>
    </xf>
    <xf numFmtId="0" fontId="6" fillId="0" borderId="14" xfId="0" applyFont="1" applyBorder="1" applyAlignment="1">
      <alignment horizontal="left" vertical="top" wrapText="1"/>
    </xf>
    <xf numFmtId="0" fontId="6" fillId="0" borderId="14" xfId="0" applyFont="1" applyBorder="1" applyAlignment="1">
      <alignment horizontal="center" vertical="top" wrapText="1"/>
    </xf>
    <xf numFmtId="0" fontId="10" fillId="0" borderId="14" xfId="0" applyFont="1" applyBorder="1" applyAlignment="1">
      <alignment vertical="top" wrapText="1"/>
    </xf>
    <xf numFmtId="4" fontId="6" fillId="0" borderId="14" xfId="0" applyNumberFormat="1" applyFont="1" applyBorder="1" applyAlignment="1">
      <alignment vertical="top" wrapText="1"/>
    </xf>
    <xf numFmtId="0" fontId="6" fillId="0" borderId="14" xfId="0" quotePrefix="1" applyFont="1" applyBorder="1" applyAlignment="1">
      <alignment horizontal="center" vertical="top" wrapText="1"/>
    </xf>
    <xf numFmtId="3" fontId="6" fillId="0" borderId="14" xfId="0" applyNumberFormat="1" applyFont="1" applyBorder="1" applyAlignment="1">
      <alignment horizontal="center" vertical="top" wrapText="1"/>
    </xf>
    <xf numFmtId="169" fontId="6" fillId="0" borderId="14" xfId="0" applyNumberFormat="1" applyFont="1" applyBorder="1" applyAlignment="1">
      <alignment horizontal="center" vertical="top" wrapText="1"/>
    </xf>
    <xf numFmtId="10" fontId="6" fillId="0" borderId="14" xfId="0" applyNumberFormat="1" applyFont="1" applyBorder="1" applyAlignment="1">
      <alignment horizontal="center" vertical="top" wrapText="1"/>
    </xf>
    <xf numFmtId="0" fontId="6" fillId="0" borderId="14" xfId="0" applyFont="1" applyBorder="1" applyAlignment="1">
      <alignment vertical="top"/>
    </xf>
    <xf numFmtId="0" fontId="15" fillId="0" borderId="14" xfId="0" applyFont="1" applyBorder="1" applyAlignment="1">
      <alignment horizontal="left" vertical="top" wrapText="1"/>
    </xf>
    <xf numFmtId="0" fontId="6" fillId="0" borderId="12" xfId="0" applyFont="1" applyBorder="1" applyAlignment="1">
      <alignment vertical="top" wrapText="1"/>
    </xf>
    <xf numFmtId="0" fontId="11" fillId="0" borderId="13" xfId="0" applyFont="1" applyBorder="1" applyAlignment="1">
      <alignment vertical="top"/>
    </xf>
    <xf numFmtId="0" fontId="6" fillId="0" borderId="14" xfId="0" applyFont="1" applyBorder="1" applyAlignment="1">
      <alignment horizontal="center" vertical="top"/>
    </xf>
    <xf numFmtId="4" fontId="10" fillId="0" borderId="14" xfId="0" applyNumberFormat="1" applyFont="1" applyBorder="1" applyAlignment="1">
      <alignment vertical="top" wrapText="1"/>
    </xf>
    <xf numFmtId="4" fontId="6" fillId="0" borderId="14" xfId="0" applyNumberFormat="1" applyFont="1" applyBorder="1" applyAlignment="1">
      <alignment horizontal="left" vertical="top" wrapText="1"/>
    </xf>
    <xf numFmtId="4" fontId="6" fillId="0" borderId="14" xfId="0" applyNumberFormat="1" applyFont="1" applyBorder="1" applyAlignment="1">
      <alignment horizontal="center" vertical="top" wrapText="1"/>
    </xf>
    <xf numFmtId="0" fontId="6" fillId="13" borderId="26" xfId="0" applyFont="1" applyFill="1" applyBorder="1" applyAlignment="1">
      <alignment horizontal="left" vertical="top" wrapText="1"/>
    </xf>
    <xf numFmtId="0" fontId="6" fillId="13" borderId="27" xfId="0" applyFont="1" applyFill="1" applyBorder="1" applyAlignment="1">
      <alignment horizontal="left" vertical="top" wrapText="1"/>
    </xf>
    <xf numFmtId="0" fontId="6" fillId="13" borderId="28" xfId="0" applyFont="1" applyFill="1" applyBorder="1" applyAlignment="1">
      <alignment horizontal="left" vertical="top" wrapText="1"/>
    </xf>
    <xf numFmtId="0" fontId="18" fillId="0" borderId="14" xfId="0" applyFont="1" applyBorder="1" applyAlignment="1">
      <alignment horizontal="left" vertical="top" wrapText="1"/>
    </xf>
    <xf numFmtId="0" fontId="6" fillId="0" borderId="12" xfId="0" applyFont="1" applyBorder="1" applyAlignment="1">
      <alignment horizontal="left" vertical="top" wrapText="1"/>
    </xf>
    <xf numFmtId="167" fontId="6" fillId="0" borderId="14" xfId="0" applyNumberFormat="1" applyFont="1" applyBorder="1" applyAlignment="1">
      <alignment vertical="top" wrapText="1"/>
    </xf>
    <xf numFmtId="49" fontId="6" fillId="0" borderId="14" xfId="0" applyNumberFormat="1" applyFont="1" applyBorder="1" applyAlignment="1">
      <alignment horizontal="center" vertical="top" wrapText="1"/>
    </xf>
    <xf numFmtId="0" fontId="6" fillId="0" borderId="13" xfId="0" applyFont="1" applyBorder="1" applyAlignment="1">
      <alignment horizontal="left" vertical="top" wrapText="1"/>
    </xf>
    <xf numFmtId="49" fontId="6" fillId="0" borderId="14" xfId="0" quotePrefix="1" applyNumberFormat="1" applyFont="1" applyBorder="1" applyAlignment="1">
      <alignment horizontal="center" vertical="top" wrapText="1"/>
    </xf>
    <xf numFmtId="0" fontId="10" fillId="0" borderId="14" xfId="0" applyFont="1" applyBorder="1" applyAlignment="1">
      <alignment horizontal="left" vertical="top" wrapText="1"/>
    </xf>
    <xf numFmtId="167" fontId="6" fillId="0" borderId="14" xfId="0" applyNumberFormat="1" applyFont="1" applyBorder="1" applyAlignment="1">
      <alignment horizontal="left" vertical="top" wrapText="1"/>
    </xf>
    <xf numFmtId="0" fontId="18" fillId="0" borderId="14" xfId="0" applyFont="1" applyBorder="1" applyAlignment="1">
      <alignment horizontal="center" vertical="top" wrapText="1"/>
    </xf>
    <xf numFmtId="167" fontId="6" fillId="0" borderId="14" xfId="0" applyNumberFormat="1" applyFont="1" applyBorder="1" applyAlignment="1">
      <alignment horizontal="center" vertical="top" wrapText="1"/>
    </xf>
    <xf numFmtId="0" fontId="12" fillId="5" borderId="29" xfId="0" applyFont="1" applyFill="1" applyBorder="1" applyAlignment="1">
      <alignment horizontal="left" vertical="top" wrapText="1"/>
    </xf>
    <xf numFmtId="0" fontId="12" fillId="5" borderId="27" xfId="0" applyFont="1" applyFill="1" applyBorder="1" applyAlignment="1">
      <alignment horizontal="left" vertical="top" wrapText="1"/>
    </xf>
    <xf numFmtId="0" fontId="12" fillId="5" borderId="30" xfId="0" applyFont="1" applyFill="1" applyBorder="1" applyAlignment="1">
      <alignment horizontal="left" vertical="top" wrapText="1"/>
    </xf>
    <xf numFmtId="0" fontId="11" fillId="0" borderId="31" xfId="0" applyFont="1" applyBorder="1" applyAlignment="1">
      <alignment horizontal="left" vertical="top" wrapText="1"/>
    </xf>
    <xf numFmtId="0" fontId="11" fillId="0" borderId="32" xfId="0" applyFont="1" applyBorder="1" applyAlignment="1">
      <alignment horizontal="left" vertical="top" wrapText="1"/>
    </xf>
    <xf numFmtId="0" fontId="11" fillId="0" borderId="33" xfId="0" applyFont="1" applyBorder="1" applyAlignment="1">
      <alignment horizontal="left" vertical="top" wrapText="1"/>
    </xf>
    <xf numFmtId="4" fontId="11" fillId="0" borderId="1" xfId="0" applyNumberFormat="1" applyFont="1" applyBorder="1" applyAlignment="1">
      <alignment horizontal="left" vertical="top" wrapText="1"/>
    </xf>
    <xf numFmtId="17" fontId="11" fillId="0" borderId="1" xfId="0" applyNumberFormat="1" applyFont="1" applyBorder="1" applyAlignment="1">
      <alignment vertical="top" wrapText="1"/>
    </xf>
    <xf numFmtId="0" fontId="11" fillId="0" borderId="1" xfId="0" applyFont="1" applyBorder="1" applyAlignment="1">
      <alignment vertical="top"/>
    </xf>
    <xf numFmtId="0" fontId="11" fillId="0" borderId="1" xfId="0" applyFont="1" applyBorder="1" applyAlignment="1">
      <alignment horizontal="left" vertical="top" wrapText="1"/>
    </xf>
    <xf numFmtId="4" fontId="11" fillId="0" borderId="1" xfId="0" applyNumberFormat="1" applyFont="1" applyBorder="1" applyAlignment="1">
      <alignment vertical="top" wrapText="1"/>
    </xf>
    <xf numFmtId="0" fontId="6" fillId="0" borderId="11" xfId="0" applyFont="1" applyBorder="1" applyAlignment="1">
      <alignment horizontal="left" vertical="top" wrapText="1"/>
    </xf>
    <xf numFmtId="0" fontId="11" fillId="0" borderId="3" xfId="0" applyFont="1" applyBorder="1" applyAlignment="1">
      <alignment vertical="top" wrapText="1"/>
    </xf>
    <xf numFmtId="4" fontId="11" fillId="0" borderId="2" xfId="0" applyNumberFormat="1" applyFont="1" applyBorder="1" applyAlignment="1">
      <alignment horizontal="left" vertical="top" wrapText="1"/>
    </xf>
    <xf numFmtId="17" fontId="11" fillId="0" borderId="2" xfId="0" applyNumberFormat="1" applyFont="1" applyBorder="1" applyAlignment="1">
      <alignment horizontal="left" vertical="top" wrapText="1"/>
    </xf>
    <xf numFmtId="0" fontId="11" fillId="0" borderId="1" xfId="0" applyFont="1" applyBorder="1" applyAlignment="1">
      <alignment horizontal="center" vertical="top"/>
    </xf>
    <xf numFmtId="4" fontId="11" fillId="0" borderId="1" xfId="0" applyNumberFormat="1" applyFont="1" applyBorder="1" applyAlignment="1">
      <alignment horizontal="right" vertical="top" wrapText="1"/>
    </xf>
    <xf numFmtId="4" fontId="11" fillId="0" borderId="3" xfId="0" applyNumberFormat="1" applyFont="1" applyBorder="1" applyAlignment="1">
      <alignment horizontal="left" vertical="top" wrapText="1"/>
    </xf>
    <xf numFmtId="17" fontId="11" fillId="0" borderId="3" xfId="0" applyNumberFormat="1" applyFont="1" applyBorder="1" applyAlignment="1">
      <alignment horizontal="left" vertical="top" wrapText="1"/>
    </xf>
    <xf numFmtId="0" fontId="12" fillId="0" borderId="31" xfId="0" applyFont="1" applyBorder="1" applyAlignment="1">
      <alignment horizontal="left" vertical="top" wrapText="1"/>
    </xf>
    <xf numFmtId="0" fontId="12" fillId="0" borderId="32" xfId="0" applyFont="1" applyBorder="1" applyAlignment="1">
      <alignment horizontal="left" vertical="top" wrapText="1"/>
    </xf>
    <xf numFmtId="0" fontId="12" fillId="0" borderId="33" xfId="0" applyFont="1" applyBorder="1" applyAlignment="1">
      <alignment horizontal="left" vertical="top" wrapText="1"/>
    </xf>
    <xf numFmtId="4" fontId="6" fillId="0" borderId="1" xfId="0" applyNumberFormat="1" applyFont="1" applyBorder="1" applyAlignment="1">
      <alignment horizontal="left" vertical="top" wrapText="1"/>
    </xf>
    <xf numFmtId="17" fontId="6" fillId="0" borderId="1" xfId="0" applyNumberFormat="1" applyFont="1" applyBorder="1" applyAlignment="1">
      <alignment vertical="top" wrapText="1"/>
    </xf>
    <xf numFmtId="4" fontId="6" fillId="0" borderId="2" xfId="0" applyNumberFormat="1" applyFont="1" applyBorder="1" applyAlignment="1">
      <alignment horizontal="center" vertical="center" wrapText="1"/>
    </xf>
    <xf numFmtId="4" fontId="6" fillId="0" borderId="3" xfId="0" applyNumberFormat="1" applyFont="1" applyBorder="1" applyAlignment="1">
      <alignment horizontal="center" vertical="center" wrapText="1"/>
    </xf>
    <xf numFmtId="0" fontId="6" fillId="0" borderId="2" xfId="0" applyFont="1" applyBorder="1" applyAlignment="1">
      <alignment horizontal="center" vertical="top" wrapText="1"/>
    </xf>
    <xf numFmtId="4" fontId="6" fillId="0" borderId="2" xfId="0" applyNumberFormat="1" applyFont="1" applyBorder="1" applyAlignment="1">
      <alignment horizontal="left" vertical="top" wrapText="1"/>
    </xf>
    <xf numFmtId="17" fontId="6" fillId="0" borderId="2" xfId="0" applyNumberFormat="1" applyFont="1" applyBorder="1" applyAlignment="1">
      <alignment vertical="top" wrapText="1"/>
    </xf>
    <xf numFmtId="0" fontId="6" fillId="0" borderId="2" xfId="0" applyFont="1" applyBorder="1" applyAlignment="1">
      <alignment horizontal="center" vertical="top"/>
    </xf>
    <xf numFmtId="4" fontId="6" fillId="0" borderId="2" xfId="0" applyNumberFormat="1" applyFont="1" applyBorder="1" applyAlignment="1">
      <alignment horizontal="center" vertical="top" wrapText="1"/>
    </xf>
    <xf numFmtId="0" fontId="6" fillId="0" borderId="2" xfId="0" applyFont="1" applyBorder="1" applyAlignment="1">
      <alignment vertical="top"/>
    </xf>
    <xf numFmtId="4" fontId="6" fillId="0" borderId="3" xfId="0" applyNumberFormat="1" applyFont="1" applyBorder="1" applyAlignment="1">
      <alignment horizontal="left" vertical="top" wrapText="1"/>
    </xf>
    <xf numFmtId="17" fontId="6" fillId="0" borderId="3" xfId="0" applyNumberFormat="1" applyFont="1" applyBorder="1" applyAlignment="1">
      <alignment vertical="top" wrapText="1"/>
    </xf>
    <xf numFmtId="0" fontId="6" fillId="0" borderId="2" xfId="0" applyFont="1" applyBorder="1" applyAlignment="1">
      <alignment horizontal="center" vertical="center"/>
    </xf>
    <xf numFmtId="0" fontId="6" fillId="0" borderId="3" xfId="0" applyFont="1" applyBorder="1" applyAlignment="1">
      <alignment vertical="top"/>
    </xf>
    <xf numFmtId="0" fontId="6" fillId="0" borderId="3" xfId="0" applyFont="1" applyBorder="1" applyAlignment="1">
      <alignment horizontal="center" vertical="center"/>
    </xf>
    <xf numFmtId="4" fontId="6" fillId="0" borderId="1" xfId="0" applyNumberFormat="1" applyFont="1" applyBorder="1" applyAlignment="1">
      <alignment horizontal="center" vertical="top" wrapText="1"/>
    </xf>
    <xf numFmtId="4" fontId="6" fillId="0" borderId="1" xfId="0" applyNumberFormat="1" applyFont="1" applyBorder="1" applyAlignment="1">
      <alignment horizontal="right" vertical="center" wrapText="1"/>
    </xf>
    <xf numFmtId="0" fontId="12" fillId="5" borderId="11" xfId="0" applyFont="1" applyFill="1" applyBorder="1" applyAlignment="1">
      <alignment horizontal="left" vertical="top" wrapText="1"/>
    </xf>
    <xf numFmtId="0" fontId="12" fillId="5" borderId="24" xfId="0" applyFont="1" applyFill="1" applyBorder="1" applyAlignment="1">
      <alignment horizontal="left" vertical="top" wrapText="1"/>
    </xf>
    <xf numFmtId="0" fontId="12" fillId="5" borderId="7" xfId="0" applyFont="1" applyFill="1" applyBorder="1" applyAlignment="1">
      <alignment horizontal="left" vertical="top" wrapText="1"/>
    </xf>
    <xf numFmtId="4" fontId="11" fillId="0" borderId="1" xfId="0" applyNumberFormat="1" applyFont="1" applyBorder="1" applyAlignment="1">
      <alignment horizontal="right" vertical="top" wrapText="1"/>
    </xf>
    <xf numFmtId="0" fontId="11" fillId="0" borderId="10" xfId="0" applyFont="1" applyBorder="1" applyAlignment="1">
      <alignment vertical="top" wrapText="1"/>
    </xf>
    <xf numFmtId="0" fontId="6" fillId="5" borderId="11" xfId="0" applyFont="1" applyFill="1" applyBorder="1" applyAlignment="1">
      <alignment horizontal="left" vertical="top" wrapText="1"/>
    </xf>
    <xf numFmtId="0" fontId="6" fillId="5" borderId="24" xfId="0" applyFont="1" applyFill="1" applyBorder="1" applyAlignment="1">
      <alignment horizontal="left" vertical="top" wrapText="1"/>
    </xf>
    <xf numFmtId="0" fontId="6" fillId="5" borderId="7" xfId="0" applyFont="1" applyFill="1" applyBorder="1" applyAlignment="1">
      <alignment horizontal="left" vertical="top" wrapText="1"/>
    </xf>
    <xf numFmtId="0" fontId="11" fillId="0" borderId="34" xfId="0" applyFont="1" applyBorder="1" applyAlignment="1">
      <alignment vertical="top" wrapText="1"/>
    </xf>
    <xf numFmtId="0" fontId="6" fillId="14" borderId="2" xfId="0" applyFont="1" applyFill="1" applyBorder="1" applyAlignment="1">
      <alignment vertical="top" wrapText="1"/>
    </xf>
    <xf numFmtId="0" fontId="6" fillId="14" borderId="1" xfId="0" applyFont="1" applyFill="1" applyBorder="1" applyAlignment="1">
      <alignment horizontal="left" vertical="top" wrapText="1"/>
    </xf>
    <xf numFmtId="0" fontId="6" fillId="14" borderId="1" xfId="0" applyFont="1" applyFill="1" applyBorder="1" applyAlignment="1">
      <alignment vertical="top" wrapText="1"/>
    </xf>
    <xf numFmtId="4" fontId="10" fillId="0" borderId="1" xfId="0" applyNumberFormat="1" applyFont="1" applyBorder="1" applyAlignment="1">
      <alignment horizontal="right" vertical="top"/>
    </xf>
    <xf numFmtId="49" fontId="6" fillId="0" borderId="1" xfId="0" applyNumberFormat="1" applyFont="1" applyBorder="1" applyAlignment="1">
      <alignment horizontal="center" vertical="top" wrapText="1"/>
    </xf>
    <xf numFmtId="0" fontId="18" fillId="0" borderId="1" xfId="0" applyFont="1" applyBorder="1" applyAlignment="1">
      <alignment vertical="top" wrapText="1"/>
    </xf>
    <xf numFmtId="4" fontId="6" fillId="0" borderId="1" xfId="0" applyNumberFormat="1" applyFont="1" applyBorder="1" applyAlignment="1">
      <alignment vertical="top" wrapText="1"/>
    </xf>
    <xf numFmtId="0" fontId="10" fillId="5" borderId="35" xfId="0" applyFont="1" applyFill="1" applyBorder="1" applyAlignment="1">
      <alignment vertical="top" wrapText="1"/>
    </xf>
    <xf numFmtId="0" fontId="6" fillId="5" borderId="34" xfId="0" applyFont="1" applyFill="1" applyBorder="1" applyAlignment="1">
      <alignment vertical="top" wrapText="1"/>
    </xf>
    <xf numFmtId="4" fontId="6" fillId="0" borderId="1" xfId="0" applyNumberFormat="1" applyFont="1" applyBorder="1" applyAlignment="1">
      <alignment horizontal="right" vertical="top"/>
    </xf>
    <xf numFmtId="0" fontId="6" fillId="5" borderId="35" xfId="0" applyFont="1" applyFill="1" applyBorder="1" applyAlignment="1">
      <alignment vertical="top" wrapText="1"/>
    </xf>
    <xf numFmtId="0" fontId="6" fillId="5" borderId="34" xfId="0" applyFont="1" applyFill="1" applyBorder="1" applyAlignment="1">
      <alignment horizontal="left" vertical="top" wrapText="1"/>
    </xf>
    <xf numFmtId="0" fontId="6" fillId="0" borderId="2" xfId="0" applyFont="1" applyBorder="1" applyAlignment="1">
      <alignment horizontal="left" vertical="center" wrapText="1"/>
    </xf>
    <xf numFmtId="0" fontId="6" fillId="14" borderId="2" xfId="0" applyFont="1" applyFill="1" applyBorder="1" applyAlignment="1">
      <alignment horizontal="left" vertical="center" wrapText="1"/>
    </xf>
    <xf numFmtId="4" fontId="6" fillId="0" borderId="1" xfId="0" applyNumberFormat="1" applyFont="1" applyBorder="1" applyAlignment="1">
      <alignment horizontal="right" vertical="center"/>
    </xf>
    <xf numFmtId="49" fontId="6" fillId="0" borderId="2" xfId="0" applyNumberFormat="1" applyFont="1" applyBorder="1" applyAlignment="1">
      <alignment horizontal="center" vertical="center" wrapText="1"/>
    </xf>
    <xf numFmtId="0" fontId="6" fillId="5" borderId="36" xfId="0" applyFont="1" applyFill="1" applyBorder="1" applyAlignment="1">
      <alignment horizontal="left" vertical="top" wrapText="1"/>
    </xf>
    <xf numFmtId="0" fontId="6" fillId="0" borderId="34" xfId="0" applyFont="1" applyBorder="1" applyAlignment="1">
      <alignment horizontal="left" vertical="top" wrapText="1"/>
    </xf>
    <xf numFmtId="0" fontId="6" fillId="0" borderId="3" xfId="0" applyFont="1" applyBorder="1" applyAlignment="1">
      <alignment horizontal="left" vertical="center" wrapText="1"/>
    </xf>
    <xf numFmtId="0" fontId="6" fillId="14" borderId="3" xfId="0" applyFont="1" applyFill="1" applyBorder="1" applyAlignment="1">
      <alignment horizontal="left" vertical="center" wrapText="1"/>
    </xf>
    <xf numFmtId="0" fontId="6" fillId="0" borderId="10" xfId="0" applyFont="1" applyBorder="1" applyAlignment="1">
      <alignment horizontal="left" vertical="center" wrapText="1"/>
    </xf>
    <xf numFmtId="49" fontId="6" fillId="0" borderId="3" xfId="0" applyNumberFormat="1" applyFont="1" applyBorder="1" applyAlignment="1">
      <alignment horizontal="center" vertical="center" wrapText="1"/>
    </xf>
    <xf numFmtId="0" fontId="6" fillId="5" borderId="37" xfId="0" applyFont="1" applyFill="1" applyBorder="1" applyAlignment="1">
      <alignment horizontal="left" vertical="top" wrapText="1"/>
    </xf>
    <xf numFmtId="49" fontId="6" fillId="0" borderId="1" xfId="0" applyNumberFormat="1" applyFont="1" applyBorder="1" applyAlignment="1">
      <alignment vertical="top" wrapText="1"/>
    </xf>
    <xf numFmtId="0" fontId="19" fillId="0" borderId="1" xfId="0" applyFont="1" applyBorder="1" applyAlignment="1">
      <alignment horizontal="left" vertical="top" wrapText="1"/>
    </xf>
    <xf numFmtId="0" fontId="19" fillId="0" borderId="1" xfId="0" applyFont="1" applyBorder="1" applyAlignment="1">
      <alignment horizontal="left" vertical="top"/>
    </xf>
    <xf numFmtId="0" fontId="6" fillId="5" borderId="37" xfId="0" applyFont="1" applyFill="1" applyBorder="1" applyAlignment="1">
      <alignment vertical="top" wrapText="1"/>
    </xf>
    <xf numFmtId="0" fontId="19" fillId="0" borderId="2" xfId="0" applyFont="1" applyBorder="1" applyAlignment="1">
      <alignment vertical="top" wrapText="1"/>
    </xf>
    <xf numFmtId="4" fontId="10" fillId="0" borderId="2" xfId="0" applyNumberFormat="1" applyFont="1" applyBorder="1" applyAlignment="1">
      <alignment vertical="top"/>
    </xf>
    <xf numFmtId="49" fontId="6" fillId="0" borderId="2" xfId="0" applyNumberFormat="1" applyFont="1" applyBorder="1" applyAlignment="1">
      <alignment vertical="top" wrapText="1"/>
    </xf>
    <xf numFmtId="0" fontId="19" fillId="0" borderId="2" xfId="0" applyFont="1" applyBorder="1" applyAlignment="1">
      <alignment vertical="top"/>
    </xf>
    <xf numFmtId="0" fontId="15" fillId="0" borderId="36" xfId="0" applyFont="1" applyBorder="1" applyAlignment="1">
      <alignment vertical="top" wrapText="1"/>
    </xf>
    <xf numFmtId="4" fontId="6" fillId="0" borderId="2" xfId="0" applyNumberFormat="1" applyFont="1" applyBorder="1" applyAlignment="1">
      <alignment vertical="top"/>
    </xf>
    <xf numFmtId="0" fontId="10" fillId="5" borderId="11" xfId="0" applyFont="1" applyFill="1" applyBorder="1" applyAlignment="1">
      <alignment horizontal="left" vertical="top" wrapText="1"/>
    </xf>
    <xf numFmtId="0" fontId="10" fillId="5" borderId="24" xfId="0" applyFont="1" applyFill="1" applyBorder="1" applyAlignment="1">
      <alignment horizontal="left" vertical="top" wrapText="1"/>
    </xf>
    <xf numFmtId="0" fontId="10" fillId="5" borderId="7" xfId="0" applyFont="1" applyFill="1" applyBorder="1" applyAlignment="1">
      <alignment horizontal="left" vertical="top" wrapText="1"/>
    </xf>
    <xf numFmtId="4" fontId="10" fillId="0" borderId="1" xfId="0" applyNumberFormat="1" applyFont="1" applyBorder="1" applyAlignment="1">
      <alignment vertical="top"/>
    </xf>
    <xf numFmtId="4" fontId="6" fillId="0" borderId="1" xfId="0" applyNumberFormat="1" applyFont="1" applyBorder="1" applyAlignment="1">
      <alignment vertical="top"/>
    </xf>
    <xf numFmtId="0" fontId="6" fillId="5" borderId="36" xfId="0" applyFont="1" applyFill="1" applyBorder="1" applyAlignment="1">
      <alignment vertical="top" wrapText="1"/>
    </xf>
    <xf numFmtId="0" fontId="20" fillId="0" borderId="36" xfId="0" applyFont="1" applyBorder="1" applyAlignment="1">
      <alignment vertical="top" wrapText="1"/>
    </xf>
    <xf numFmtId="0" fontId="12" fillId="5" borderId="38" xfId="0" applyFont="1" applyFill="1" applyBorder="1" applyAlignment="1">
      <alignment horizontal="left" vertical="top" wrapText="1"/>
    </xf>
    <xf numFmtId="0" fontId="12" fillId="5" borderId="39" xfId="0" applyFont="1" applyFill="1" applyBorder="1" applyAlignment="1">
      <alignment horizontal="left" vertical="top" wrapText="1"/>
    </xf>
    <xf numFmtId="3" fontId="6" fillId="0" borderId="14" xfId="0" applyNumberFormat="1" applyFont="1" applyBorder="1" applyAlignment="1">
      <alignment horizontal="left" vertical="top" wrapText="1"/>
    </xf>
    <xf numFmtId="0" fontId="10" fillId="5" borderId="29" xfId="0" applyFont="1" applyFill="1" applyBorder="1" applyAlignment="1">
      <alignment horizontal="left" vertical="center" wrapText="1"/>
    </xf>
    <xf numFmtId="0" fontId="10" fillId="5" borderId="27" xfId="0" applyFont="1" applyFill="1" applyBorder="1" applyAlignment="1">
      <alignment horizontal="left" vertical="center" wrapText="1"/>
    </xf>
    <xf numFmtId="0" fontId="10" fillId="5" borderId="30" xfId="0" applyFont="1" applyFill="1" applyBorder="1" applyAlignment="1">
      <alignment horizontal="left" vertical="center" wrapText="1"/>
    </xf>
    <xf numFmtId="17" fontId="6" fillId="0" borderId="14" xfId="0" quotePrefix="1" applyNumberFormat="1" applyFont="1" applyBorder="1" applyAlignment="1">
      <alignment horizontal="center" vertical="top" wrapText="1"/>
    </xf>
    <xf numFmtId="0" fontId="10" fillId="5" borderId="40" xfId="0" applyFont="1" applyFill="1" applyBorder="1" applyAlignment="1">
      <alignment horizontal="left" vertical="top" wrapText="1"/>
    </xf>
    <xf numFmtId="0" fontId="10" fillId="5" borderId="41" xfId="0" applyFont="1" applyFill="1" applyBorder="1" applyAlignment="1">
      <alignment horizontal="left" vertical="top" wrapText="1"/>
    </xf>
    <xf numFmtId="0" fontId="10" fillId="5" borderId="42" xfId="0" applyFont="1" applyFill="1" applyBorder="1" applyAlignment="1">
      <alignment horizontal="left" vertical="top" wrapText="1"/>
    </xf>
    <xf numFmtId="0" fontId="11" fillId="0" borderId="2" xfId="0" applyFont="1" applyBorder="1" applyAlignment="1">
      <alignment vertical="center" wrapText="1"/>
    </xf>
    <xf numFmtId="0" fontId="12" fillId="0" borderId="1" xfId="0" applyFont="1" applyBorder="1" applyAlignment="1">
      <alignment horizontal="left" vertical="center" wrapText="1"/>
    </xf>
    <xf numFmtId="0" fontId="11" fillId="0" borderId="2" xfId="0" applyFont="1" applyBorder="1" applyAlignment="1">
      <alignment vertical="top" wrapText="1"/>
    </xf>
    <xf numFmtId="0" fontId="10" fillId="5" borderId="11" xfId="0" applyFont="1" applyFill="1" applyBorder="1" applyAlignment="1">
      <alignment horizontal="left" vertical="center" wrapText="1"/>
    </xf>
    <xf numFmtId="0" fontId="10" fillId="5" borderId="24"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11" xfId="0" applyFont="1" applyFill="1" applyBorder="1" applyAlignment="1">
      <alignment horizontal="left" vertical="center" wrapText="1"/>
    </xf>
    <xf numFmtId="0" fontId="11" fillId="5" borderId="24" xfId="0" applyFont="1" applyFill="1" applyBorder="1" applyAlignment="1">
      <alignment horizontal="left" vertical="center" wrapText="1"/>
    </xf>
    <xf numFmtId="0" fontId="11" fillId="5" borderId="7" xfId="0" applyFont="1" applyFill="1" applyBorder="1" applyAlignment="1">
      <alignment horizontal="left" vertical="center" wrapText="1"/>
    </xf>
    <xf numFmtId="4" fontId="11" fillId="0" borderId="1" xfId="0" applyNumberFormat="1" applyFont="1" applyBorder="1" applyAlignment="1">
      <alignment horizontal="center" vertical="top"/>
    </xf>
    <xf numFmtId="0" fontId="6" fillId="5" borderId="11" xfId="0" applyFont="1" applyFill="1" applyBorder="1" applyAlignment="1">
      <alignment horizontal="left" vertical="center" wrapText="1"/>
    </xf>
    <xf numFmtId="0" fontId="6" fillId="5" borderId="24" xfId="0" applyFont="1" applyFill="1" applyBorder="1" applyAlignment="1">
      <alignment horizontal="left" vertical="center" wrapText="1"/>
    </xf>
    <xf numFmtId="0" fontId="6" fillId="5" borderId="7" xfId="0" applyFont="1" applyFill="1" applyBorder="1" applyAlignment="1">
      <alignment horizontal="left" vertical="center" wrapText="1"/>
    </xf>
    <xf numFmtId="43" fontId="6" fillId="5" borderId="1" xfId="1" applyNumberFormat="1" applyFont="1" applyFill="1" applyBorder="1" applyAlignment="1">
      <alignment horizontal="center" vertical="top" wrapText="1"/>
    </xf>
    <xf numFmtId="10" fontId="6" fillId="5" borderId="1" xfId="0" applyNumberFormat="1" applyFont="1" applyFill="1" applyBorder="1" applyAlignment="1">
      <alignment horizontal="left" vertical="top" wrapText="1"/>
    </xf>
    <xf numFmtId="0" fontId="6" fillId="5" borderId="10" xfId="0" applyFont="1" applyFill="1" applyBorder="1" applyAlignment="1">
      <alignment horizontal="left" vertical="top" wrapText="1"/>
    </xf>
    <xf numFmtId="0" fontId="6" fillId="6" borderId="1" xfId="0" applyFont="1" applyFill="1" applyBorder="1" applyAlignment="1">
      <alignment horizontal="left" vertical="top" wrapText="1"/>
    </xf>
    <xf numFmtId="170" fontId="6" fillId="6" borderId="3" xfId="4" applyNumberFormat="1" applyFont="1" applyFill="1" applyBorder="1" applyAlignment="1">
      <alignment horizontal="center" vertical="top" wrapText="1"/>
    </xf>
    <xf numFmtId="17" fontId="6" fillId="0" borderId="3" xfId="0" applyNumberFormat="1" applyFont="1" applyBorder="1" applyAlignment="1">
      <alignment horizontal="center" vertical="top"/>
    </xf>
    <xf numFmtId="0" fontId="11" fillId="0" borderId="3" xfId="0" applyFont="1" applyBorder="1" applyAlignment="1">
      <alignment horizontal="center" vertical="top"/>
    </xf>
    <xf numFmtId="10" fontId="6" fillId="0" borderId="1" xfId="11" applyNumberFormat="1" applyFont="1" applyBorder="1" applyAlignment="1">
      <alignment horizontal="center" vertical="top" wrapText="1"/>
    </xf>
    <xf numFmtId="43" fontId="6" fillId="0" borderId="1" xfId="1" applyNumberFormat="1" applyFont="1" applyBorder="1" applyAlignment="1">
      <alignment horizontal="center" vertical="top" wrapText="1"/>
    </xf>
    <xf numFmtId="0" fontId="6" fillId="5" borderId="2" xfId="0" applyFont="1" applyFill="1" applyBorder="1" applyAlignment="1">
      <alignment horizontal="left" vertical="top" wrapText="1"/>
    </xf>
    <xf numFmtId="0" fontId="6" fillId="6" borderId="2" xfId="0" applyFont="1" applyFill="1" applyBorder="1" applyAlignment="1">
      <alignment horizontal="left" vertical="top" wrapText="1"/>
    </xf>
    <xf numFmtId="17" fontId="6" fillId="0" borderId="3" xfId="0" applyNumberFormat="1" applyFont="1" applyBorder="1" applyAlignment="1">
      <alignment horizontal="left" vertical="top" wrapText="1"/>
    </xf>
    <xf numFmtId="0" fontId="10" fillId="5" borderId="1" xfId="0" applyFont="1" applyFill="1" applyBorder="1" applyAlignment="1">
      <alignment horizontal="left" vertical="top" wrapText="1"/>
    </xf>
    <xf numFmtId="0" fontId="6" fillId="5" borderId="10" xfId="0" applyFont="1" applyFill="1" applyBorder="1" applyAlignment="1">
      <alignment horizontal="left" vertical="top" wrapText="1"/>
    </xf>
    <xf numFmtId="0" fontId="6" fillId="6" borderId="10" xfId="0" applyFont="1" applyFill="1" applyBorder="1" applyAlignment="1">
      <alignment horizontal="left" vertical="top" wrapText="1"/>
    </xf>
    <xf numFmtId="170" fontId="6" fillId="6" borderId="3" xfId="4" applyNumberFormat="1" applyFont="1" applyFill="1" applyBorder="1" applyAlignment="1">
      <alignment horizontal="left" vertical="top" wrapText="1"/>
    </xf>
    <xf numFmtId="0" fontId="11" fillId="0" borderId="3" xfId="0" applyFont="1" applyBorder="1" applyAlignment="1">
      <alignment horizontal="left" vertical="top" wrapText="1"/>
    </xf>
    <xf numFmtId="0" fontId="6" fillId="6" borderId="3" xfId="0" applyFont="1" applyFill="1" applyBorder="1" applyAlignment="1">
      <alignment horizontal="left" vertical="top" wrapText="1"/>
    </xf>
    <xf numFmtId="0" fontId="11" fillId="6" borderId="11" xfId="0" applyFont="1" applyFill="1" applyBorder="1" applyAlignment="1">
      <alignment horizontal="left" vertical="top" wrapText="1"/>
    </xf>
    <xf numFmtId="0" fontId="11" fillId="6" borderId="24" xfId="0" applyFont="1" applyFill="1" applyBorder="1" applyAlignment="1">
      <alignment horizontal="left" vertical="top" wrapText="1"/>
    </xf>
    <xf numFmtId="0" fontId="11" fillId="6" borderId="7" xfId="0" applyFont="1" applyFill="1" applyBorder="1" applyAlignment="1">
      <alignment horizontal="left" vertical="top" wrapText="1"/>
    </xf>
    <xf numFmtId="0" fontId="11" fillId="6" borderId="1" xfId="0" applyFont="1" applyFill="1" applyBorder="1" applyAlignment="1">
      <alignment vertical="top" wrapText="1"/>
    </xf>
    <xf numFmtId="170" fontId="11" fillId="6" borderId="1" xfId="4" applyNumberFormat="1" applyFont="1" applyFill="1" applyBorder="1" applyAlignment="1">
      <alignment horizontal="center" vertical="top" wrapText="1"/>
    </xf>
    <xf numFmtId="17" fontId="11" fillId="0" borderId="1" xfId="0" applyNumberFormat="1" applyFont="1" applyBorder="1" applyAlignment="1">
      <alignment horizontal="center" vertical="top"/>
    </xf>
    <xf numFmtId="0" fontId="11" fillId="6" borderId="3" xfId="0" applyFont="1" applyFill="1" applyBorder="1" applyAlignment="1">
      <alignment vertical="top" wrapText="1"/>
    </xf>
    <xf numFmtId="0" fontId="11" fillId="5" borderId="3" xfId="0" applyFont="1" applyFill="1" applyBorder="1" applyAlignment="1">
      <alignment horizontal="left" vertical="top" wrapText="1"/>
    </xf>
    <xf numFmtId="0" fontId="11" fillId="0" borderId="3" xfId="0" applyFont="1" applyBorder="1" applyAlignment="1">
      <alignment horizontal="center" vertical="top" wrapText="1"/>
    </xf>
    <xf numFmtId="170" fontId="11" fillId="6" borderId="3" xfId="4" applyNumberFormat="1" applyFont="1" applyFill="1" applyBorder="1" applyAlignment="1">
      <alignment horizontal="center" vertical="top" wrapText="1"/>
    </xf>
    <xf numFmtId="4" fontId="11" fillId="0" borderId="3" xfId="0" applyNumberFormat="1" applyFont="1" applyBorder="1" applyAlignment="1">
      <alignment horizontal="center" vertical="top" wrapText="1"/>
    </xf>
    <xf numFmtId="0" fontId="21" fillId="0" borderId="43" xfId="0" applyFont="1" applyBorder="1" applyAlignment="1">
      <alignment vertical="center" wrapText="1"/>
    </xf>
    <xf numFmtId="170" fontId="6" fillId="6" borderId="1" xfId="4" applyNumberFormat="1" applyFont="1" applyFill="1" applyBorder="1" applyAlignment="1">
      <alignment horizontal="center" vertical="top" wrapText="1"/>
    </xf>
    <xf numFmtId="0" fontId="11" fillId="0" borderId="43" xfId="0" applyFont="1" applyBorder="1" applyAlignment="1">
      <alignment vertical="top" wrapText="1"/>
    </xf>
    <xf numFmtId="0" fontId="11" fillId="0" borderId="2" xfId="0" applyFont="1" applyBorder="1" applyAlignment="1">
      <alignment horizontal="center" vertical="center" wrapText="1"/>
    </xf>
    <xf numFmtId="0" fontId="11" fillId="0" borderId="2" xfId="0" applyFont="1" applyBorder="1" applyAlignment="1">
      <alignment horizontal="center" vertical="top" wrapText="1"/>
    </xf>
    <xf numFmtId="17" fontId="11" fillId="0" borderId="2" xfId="0" applyNumberFormat="1" applyFont="1" applyBorder="1" applyAlignment="1">
      <alignment horizontal="center" vertical="top"/>
    </xf>
    <xf numFmtId="0" fontId="11" fillId="0" borderId="43" xfId="0" applyFont="1" applyBorder="1" applyAlignment="1">
      <alignment vertical="center" wrapText="1"/>
    </xf>
    <xf numFmtId="17" fontId="6" fillId="0" borderId="1" xfId="0" applyNumberFormat="1" applyFont="1" applyBorder="1" applyAlignment="1">
      <alignment horizontal="center" vertical="top"/>
    </xf>
    <xf numFmtId="9" fontId="6" fillId="0" borderId="1" xfId="0" applyNumberFormat="1" applyFont="1" applyBorder="1" applyAlignment="1">
      <alignment horizontal="center" vertical="top" wrapText="1"/>
    </xf>
    <xf numFmtId="0" fontId="11" fillId="0" borderId="1" xfId="0" applyFont="1" applyBorder="1" applyAlignment="1">
      <alignment horizontal="left" vertical="top"/>
    </xf>
    <xf numFmtId="0" fontId="6" fillId="5" borderId="2" xfId="0" applyFont="1" applyFill="1" applyBorder="1" applyAlignment="1">
      <alignment vertical="top" wrapText="1"/>
    </xf>
    <xf numFmtId="0" fontId="6" fillId="5" borderId="2" xfId="0" applyFont="1" applyFill="1" applyBorder="1" applyAlignment="1">
      <alignment horizontal="left" vertical="top" wrapText="1"/>
    </xf>
    <xf numFmtId="170" fontId="6" fillId="5" borderId="2" xfId="4" applyNumberFormat="1" applyFont="1" applyFill="1" applyBorder="1" applyAlignment="1">
      <alignment horizontal="center" vertical="top"/>
    </xf>
    <xf numFmtId="15" fontId="6" fillId="0" borderId="2" xfId="0" applyNumberFormat="1" applyFont="1" applyBorder="1" applyAlignment="1">
      <alignment horizontal="left" vertical="top" wrapText="1"/>
    </xf>
    <xf numFmtId="0" fontId="15" fillId="15" borderId="34" xfId="0" applyFont="1" applyFill="1" applyBorder="1" applyAlignment="1">
      <alignment vertical="top" wrapText="1"/>
    </xf>
    <xf numFmtId="0" fontId="15" fillId="15" borderId="1" xfId="0" applyFont="1" applyFill="1" applyBorder="1" applyAlignment="1">
      <alignment horizontal="left" vertical="top" wrapText="1"/>
    </xf>
    <xf numFmtId="0" fontId="15" fillId="16" borderId="1" xfId="0" applyFont="1" applyFill="1" applyBorder="1" applyAlignment="1">
      <alignment horizontal="left" vertical="top" wrapText="1"/>
    </xf>
    <xf numFmtId="0" fontId="15" fillId="0" borderId="1" xfId="0" applyFont="1" applyBorder="1" applyAlignment="1">
      <alignment vertical="top" wrapText="1"/>
    </xf>
    <xf numFmtId="0" fontId="15" fillId="16" borderId="1" xfId="0" applyFont="1" applyFill="1" applyBorder="1" applyAlignment="1">
      <alignment vertical="top" wrapText="1"/>
    </xf>
    <xf numFmtId="4" fontId="15" fillId="0" borderId="1" xfId="0" applyNumberFormat="1" applyFont="1" applyBorder="1" applyAlignment="1">
      <alignment horizontal="center" vertical="top"/>
    </xf>
    <xf numFmtId="17" fontId="15" fillId="0" borderId="1" xfId="0" applyNumberFormat="1" applyFont="1" applyBorder="1" applyAlignment="1">
      <alignment vertical="top"/>
    </xf>
    <xf numFmtId="0" fontId="15" fillId="15" borderId="1" xfId="0" applyFont="1" applyFill="1" applyBorder="1" applyAlignment="1">
      <alignment vertical="top" wrapText="1"/>
    </xf>
    <xf numFmtId="0" fontId="11" fillId="0" borderId="3" xfId="0" applyFont="1" applyBorder="1" applyAlignment="1">
      <alignment horizontal="left" vertical="center" wrapText="1"/>
    </xf>
    <xf numFmtId="0" fontId="6" fillId="0" borderId="3" xfId="0" applyFont="1" applyBorder="1" applyAlignment="1">
      <alignment horizontal="left"/>
    </xf>
    <xf numFmtId="0" fontId="11" fillId="0" borderId="0" xfId="0" applyFont="1" applyAlignment="1">
      <alignment horizontal="left" vertical="top" wrapText="1"/>
    </xf>
    <xf numFmtId="0" fontId="11" fillId="0" borderId="3" xfId="0" applyFont="1" applyBorder="1" applyAlignment="1">
      <alignment vertical="top"/>
    </xf>
    <xf numFmtId="17" fontId="11" fillId="0" borderId="3" xfId="0" applyNumberFormat="1" applyFont="1" applyBorder="1" applyAlignment="1">
      <alignment vertical="top" wrapText="1"/>
    </xf>
    <xf numFmtId="4" fontId="11" fillId="0" borderId="2" xfId="0" applyNumberFormat="1" applyFont="1" applyBorder="1" applyAlignment="1">
      <alignment horizontal="center" vertical="top" wrapText="1"/>
    </xf>
    <xf numFmtId="17" fontId="11" fillId="0" borderId="2" xfId="0" applyNumberFormat="1" applyFont="1" applyBorder="1" applyAlignment="1">
      <alignment vertical="top" wrapText="1"/>
    </xf>
    <xf numFmtId="9" fontId="11" fillId="0" borderId="1" xfId="0" applyNumberFormat="1" applyFont="1" applyBorder="1" applyAlignment="1">
      <alignment horizontal="center" vertical="top" wrapText="1"/>
    </xf>
    <xf numFmtId="0" fontId="11" fillId="0" borderId="2" xfId="0" applyFont="1" applyBorder="1" applyAlignment="1">
      <alignment horizontal="center" vertical="center" wrapText="1"/>
    </xf>
    <xf numFmtId="4" fontId="11" fillId="0" borderId="2" xfId="0" applyNumberFormat="1" applyFont="1" applyBorder="1" applyAlignment="1">
      <alignment horizontal="left" vertical="center" wrapText="1"/>
    </xf>
    <xf numFmtId="17" fontId="11" fillId="0" borderId="2" xfId="0" applyNumberFormat="1" applyFont="1" applyBorder="1" applyAlignment="1">
      <alignment horizontal="center" vertical="center" wrapText="1"/>
    </xf>
    <xf numFmtId="0" fontId="11" fillId="0" borderId="2" xfId="0" applyFont="1" applyBorder="1" applyAlignment="1">
      <alignment horizontal="center" vertical="center"/>
    </xf>
    <xf numFmtId="4" fontId="11" fillId="0" borderId="1" xfId="0" applyNumberFormat="1" applyFont="1" applyBorder="1" applyAlignment="1">
      <alignment horizontal="right" vertical="center" wrapText="1"/>
    </xf>
    <xf numFmtId="0" fontId="11" fillId="0" borderId="1" xfId="0" applyFont="1" applyBorder="1" applyAlignment="1">
      <alignment horizontal="center" vertical="center" wrapText="1"/>
    </xf>
    <xf numFmtId="0" fontId="15" fillId="0" borderId="3" xfId="0" applyFont="1" applyBorder="1" applyAlignment="1">
      <alignment horizontal="left" vertical="top" wrapText="1"/>
    </xf>
    <xf numFmtId="0" fontId="11" fillId="0" borderId="10" xfId="0" applyFont="1" applyBorder="1" applyAlignment="1">
      <alignment horizontal="center" vertical="center" wrapText="1"/>
    </xf>
    <xf numFmtId="4" fontId="11" fillId="0" borderId="10" xfId="0" applyNumberFormat="1" applyFont="1" applyBorder="1" applyAlignment="1">
      <alignment horizontal="left" vertical="center" wrapText="1"/>
    </xf>
    <xf numFmtId="17" fontId="11" fillId="0" borderId="10" xfId="0" applyNumberFormat="1" applyFont="1" applyBorder="1" applyAlignment="1">
      <alignment horizontal="center" vertical="center" wrapText="1"/>
    </xf>
    <xf numFmtId="0" fontId="11" fillId="0" borderId="10" xfId="0" applyFont="1" applyBorder="1" applyAlignment="1">
      <alignment horizontal="center" vertical="center"/>
    </xf>
    <xf numFmtId="0" fontId="11" fillId="0" borderId="3" xfId="0" applyFont="1" applyBorder="1" applyAlignment="1">
      <alignment horizontal="center" vertical="center" wrapText="1"/>
    </xf>
    <xf numFmtId="4" fontId="11" fillId="0" borderId="3" xfId="0" applyNumberFormat="1" applyFont="1" applyBorder="1" applyAlignment="1">
      <alignment horizontal="left" vertical="center" wrapText="1"/>
    </xf>
    <xf numFmtId="17" fontId="11" fillId="0" borderId="3" xfId="0" applyNumberFormat="1" applyFont="1" applyBorder="1" applyAlignment="1">
      <alignment horizontal="center" vertical="center" wrapText="1"/>
    </xf>
    <xf numFmtId="0" fontId="11" fillId="0" borderId="3" xfId="0" applyFont="1" applyBorder="1" applyAlignment="1">
      <alignment horizontal="center" vertical="center"/>
    </xf>
    <xf numFmtId="4" fontId="11" fillId="0" borderId="2" xfId="0" applyNumberFormat="1" applyFont="1" applyBorder="1" applyAlignment="1">
      <alignment horizontal="center" vertical="center" wrapText="1"/>
    </xf>
    <xf numFmtId="4" fontId="11" fillId="0" borderId="3" xfId="0" applyNumberFormat="1" applyFont="1" applyBorder="1" applyAlignment="1">
      <alignment horizontal="center" vertical="center" wrapText="1"/>
    </xf>
    <xf numFmtId="0" fontId="12" fillId="5" borderId="11" xfId="0" applyFont="1" applyFill="1" applyBorder="1" applyAlignment="1">
      <alignment horizontal="left" vertical="center" wrapText="1"/>
    </xf>
    <xf numFmtId="0" fontId="12" fillId="5" borderId="24" xfId="0" applyFont="1" applyFill="1" applyBorder="1" applyAlignment="1">
      <alignment horizontal="left" vertical="center" wrapText="1"/>
    </xf>
    <xf numFmtId="0" fontId="12" fillId="5" borderId="7" xfId="0" applyFont="1" applyFill="1" applyBorder="1" applyAlignment="1">
      <alignment horizontal="left" vertical="center" wrapText="1"/>
    </xf>
    <xf numFmtId="4" fontId="11" fillId="0" borderId="10" xfId="0" applyNumberFormat="1" applyFont="1" applyBorder="1" applyAlignment="1">
      <alignment horizontal="center" vertical="center" wrapText="1"/>
    </xf>
    <xf numFmtId="4" fontId="11" fillId="0" borderId="1" xfId="0" applyNumberFormat="1" applyFont="1" applyBorder="1" applyAlignment="1">
      <alignment horizontal="center" vertical="top" wrapText="1"/>
    </xf>
    <xf numFmtId="4" fontId="11" fillId="0" borderId="1" xfId="0" applyNumberFormat="1" applyFont="1" applyBorder="1" applyAlignment="1">
      <alignment horizontal="center" vertical="center" wrapText="1"/>
    </xf>
    <xf numFmtId="4" fontId="6" fillId="5" borderId="1" xfId="0" applyNumberFormat="1" applyFont="1" applyFill="1" applyBorder="1" applyAlignment="1">
      <alignment horizontal="left" vertical="top" wrapText="1"/>
    </xf>
    <xf numFmtId="4" fontId="11" fillId="0" borderId="1" xfId="0" applyNumberFormat="1" applyFont="1" applyBorder="1" applyAlignment="1">
      <alignment horizontal="right" vertical="center" wrapText="1"/>
    </xf>
    <xf numFmtId="17" fontId="6" fillId="0" borderId="1" xfId="0" applyNumberFormat="1" applyFont="1" applyBorder="1" applyAlignment="1">
      <alignment horizontal="center" vertical="top" wrapText="1"/>
    </xf>
    <xf numFmtId="9" fontId="11" fillId="0" borderId="1" xfId="0" applyNumberFormat="1" applyFont="1" applyBorder="1" applyAlignment="1">
      <alignment horizontal="center" vertical="top"/>
    </xf>
    <xf numFmtId="0" fontId="15" fillId="0" borderId="1" xfId="0" applyFont="1" applyBorder="1" applyAlignment="1">
      <alignment horizontal="left" vertical="top" wrapText="1" readingOrder="1"/>
    </xf>
    <xf numFmtId="0" fontId="15" fillId="0" borderId="3" xfId="0" applyFont="1" applyBorder="1" applyAlignment="1">
      <alignment vertical="top" wrapText="1"/>
    </xf>
    <xf numFmtId="4" fontId="11" fillId="0" borderId="1" xfId="0" applyNumberFormat="1" applyFont="1" applyBorder="1" applyAlignment="1">
      <alignment vertical="center" wrapText="1"/>
    </xf>
    <xf numFmtId="17" fontId="11" fillId="0" borderId="44" xfId="0" applyNumberFormat="1" applyFont="1" applyBorder="1" applyAlignment="1">
      <alignment horizontal="center" vertical="center" wrapText="1"/>
    </xf>
    <xf numFmtId="0" fontId="11" fillId="0" borderId="44" xfId="0" applyFont="1" applyBorder="1" applyAlignment="1">
      <alignment horizontal="center" vertical="center"/>
    </xf>
    <xf numFmtId="0" fontId="6" fillId="0" borderId="44" xfId="0" applyFont="1" applyBorder="1" applyAlignment="1">
      <alignment horizontal="center" vertical="center" wrapText="1"/>
    </xf>
    <xf numFmtId="0" fontId="11" fillId="0" borderId="44" xfId="0" applyFont="1" applyBorder="1" applyAlignment="1">
      <alignment horizontal="center" vertical="center" wrapText="1"/>
    </xf>
    <xf numFmtId="0" fontId="6" fillId="0" borderId="13" xfId="0" applyFont="1" applyBorder="1" applyAlignment="1">
      <alignment vertical="top" wrapText="1"/>
    </xf>
    <xf numFmtId="0" fontId="6" fillId="0" borderId="14" xfId="0" applyFont="1" applyBorder="1"/>
    <xf numFmtId="0" fontId="6" fillId="0" borderId="14" xfId="0" applyFont="1" applyBorder="1" applyAlignment="1">
      <alignment horizontal="center"/>
    </xf>
    <xf numFmtId="0" fontId="10" fillId="0" borderId="14" xfId="0" applyFont="1" applyBorder="1" applyAlignment="1">
      <alignment vertical="center" wrapText="1"/>
    </xf>
    <xf numFmtId="17" fontId="6" fillId="0" borderId="1" xfId="0" applyNumberFormat="1" applyFont="1" applyBorder="1" applyAlignment="1">
      <alignment horizontal="right" vertical="top" wrapText="1"/>
    </xf>
    <xf numFmtId="0" fontId="6" fillId="0" borderId="25" xfId="0" applyFont="1" applyBorder="1" applyAlignment="1">
      <alignment horizontal="left" vertical="top" wrapText="1"/>
    </xf>
    <xf numFmtId="167" fontId="10" fillId="0" borderId="14" xfId="0" applyNumberFormat="1" applyFont="1" applyBorder="1" applyAlignment="1">
      <alignment vertical="top"/>
    </xf>
    <xf numFmtId="0" fontId="6" fillId="0" borderId="15" xfId="0" applyFont="1" applyBorder="1" applyAlignment="1">
      <alignment horizontal="left" vertical="top" wrapText="1"/>
    </xf>
    <xf numFmtId="167" fontId="6" fillId="0" borderId="14" xfId="0" applyNumberFormat="1" applyFont="1" applyBorder="1" applyAlignment="1">
      <alignment vertical="top"/>
    </xf>
    <xf numFmtId="0" fontId="11" fillId="0" borderId="14" xfId="0" applyFont="1" applyBorder="1" applyAlignment="1">
      <alignment horizontal="left" vertical="top" wrapText="1"/>
    </xf>
    <xf numFmtId="0" fontId="6" fillId="0" borderId="14" xfId="0" applyFont="1" applyBorder="1" applyAlignment="1">
      <alignment horizontal="left" vertical="top"/>
    </xf>
    <xf numFmtId="167" fontId="6" fillId="0" borderId="14" xfId="0" applyNumberFormat="1" applyFont="1" applyBorder="1" applyAlignment="1">
      <alignment horizontal="left" vertical="top"/>
    </xf>
    <xf numFmtId="4" fontId="6" fillId="0" borderId="2" xfId="0" applyNumberFormat="1" applyFont="1" applyBorder="1" applyAlignment="1">
      <alignment horizontal="center" vertical="top" wrapText="1"/>
    </xf>
    <xf numFmtId="17" fontId="6" fillId="0" borderId="2" xfId="0" applyNumberFormat="1" applyFont="1" applyBorder="1" applyAlignment="1">
      <alignment horizontal="center" vertical="top" wrapText="1"/>
    </xf>
    <xf numFmtId="0" fontId="11" fillId="0" borderId="1" xfId="0" applyFont="1" applyBorder="1"/>
    <xf numFmtId="4" fontId="6" fillId="0" borderId="10" xfId="0" applyNumberFormat="1" applyFont="1" applyBorder="1" applyAlignment="1">
      <alignment horizontal="center" vertical="top" wrapText="1"/>
    </xf>
    <xf numFmtId="17" fontId="6" fillId="0" borderId="10" xfId="0" applyNumberFormat="1" applyFont="1" applyBorder="1" applyAlignment="1">
      <alignment horizontal="center" vertical="top" wrapText="1"/>
    </xf>
    <xf numFmtId="0" fontId="6" fillId="0" borderId="1" xfId="0" applyFont="1" applyBorder="1" applyAlignment="1">
      <alignment horizontal="left" wrapText="1"/>
    </xf>
    <xf numFmtId="4" fontId="6" fillId="0" borderId="3" xfId="0" applyNumberFormat="1" applyFont="1" applyBorder="1" applyAlignment="1">
      <alignment horizontal="center" vertical="top" wrapText="1"/>
    </xf>
    <xf numFmtId="17" fontId="6" fillId="0" borderId="3" xfId="0" applyNumberFormat="1" applyFont="1" applyBorder="1" applyAlignment="1">
      <alignment horizontal="center" vertical="top" wrapText="1"/>
    </xf>
    <xf numFmtId="4" fontId="6" fillId="0" borderId="1" xfId="0" applyNumberFormat="1" applyFont="1" applyBorder="1" applyAlignment="1">
      <alignment horizontal="center" vertical="top" wrapText="1"/>
    </xf>
    <xf numFmtId="17" fontId="6" fillId="0" borderId="1" xfId="0" applyNumberFormat="1" applyFont="1" applyBorder="1" applyAlignment="1">
      <alignment horizontal="center" vertical="top" wrapText="1"/>
    </xf>
    <xf numFmtId="0" fontId="15" fillId="0" borderId="1" xfId="0" applyFont="1" applyBorder="1" applyAlignment="1">
      <alignment horizontal="center" vertical="top" wrapText="1"/>
    </xf>
    <xf numFmtId="0" fontId="11" fillId="0" borderId="2" xfId="0" applyFont="1" applyBorder="1" applyAlignment="1">
      <alignment horizontal="left" vertical="top"/>
    </xf>
    <xf numFmtId="43" fontId="6" fillId="0" borderId="1" xfId="4" applyFont="1" applyFill="1" applyBorder="1" applyAlignment="1">
      <alignment horizontal="left" vertical="top" wrapText="1"/>
    </xf>
    <xf numFmtId="0" fontId="15" fillId="0" borderId="1" xfId="0" applyFont="1" applyBorder="1" applyAlignment="1">
      <alignment horizontal="left" vertical="top" wrapText="1"/>
    </xf>
    <xf numFmtId="4" fontId="6" fillId="0" borderId="1" xfId="0" applyNumberFormat="1" applyFont="1" applyBorder="1" applyAlignment="1">
      <alignment horizontal="right" vertical="top" wrapText="1"/>
    </xf>
    <xf numFmtId="10" fontId="11" fillId="0" borderId="1" xfId="0" applyNumberFormat="1" applyFont="1" applyBorder="1" applyAlignment="1">
      <alignment horizontal="left" vertical="top" wrapText="1"/>
    </xf>
    <xf numFmtId="9" fontId="11" fillId="0" borderId="1" xfId="0" applyNumberFormat="1" applyFont="1" applyBorder="1" applyAlignment="1">
      <alignment horizontal="left" vertical="top" wrapText="1"/>
    </xf>
    <xf numFmtId="0" fontId="11" fillId="5" borderId="34" xfId="0" applyFont="1" applyFill="1" applyBorder="1" applyAlignment="1">
      <alignment vertical="center" wrapText="1"/>
    </xf>
    <xf numFmtId="0" fontId="11" fillId="5" borderId="1" xfId="0" applyFont="1" applyFill="1" applyBorder="1" applyAlignment="1">
      <alignment horizontal="center" vertical="center"/>
    </xf>
    <xf numFmtId="164" fontId="11" fillId="5" borderId="1" xfId="1" applyFont="1" applyFill="1" applyBorder="1" applyAlignment="1">
      <alignment horizontal="right" vertical="center" wrapText="1" shrinkToFit="1"/>
    </xf>
    <xf numFmtId="14" fontId="11" fillId="5" borderId="1" xfId="0" applyNumberFormat="1" applyFont="1" applyFill="1" applyBorder="1" applyAlignment="1">
      <alignment horizontal="center" vertical="center" wrapText="1"/>
    </xf>
    <xf numFmtId="10" fontId="11" fillId="5" borderId="1" xfId="0" applyNumberFormat="1" applyFont="1" applyFill="1" applyBorder="1" applyAlignment="1">
      <alignment horizontal="center" vertical="center" wrapText="1"/>
    </xf>
    <xf numFmtId="0" fontId="11" fillId="5" borderId="35" xfId="0" applyFont="1" applyFill="1" applyBorder="1" applyAlignment="1">
      <alignment horizontal="center" vertical="center" wrapText="1"/>
    </xf>
    <xf numFmtId="0" fontId="11" fillId="5" borderId="1" xfId="0" quotePrefix="1" applyFont="1" applyFill="1" applyBorder="1" applyAlignment="1">
      <alignment horizontal="center" vertical="center" wrapText="1"/>
    </xf>
    <xf numFmtId="0" fontId="12" fillId="17" borderId="45" xfId="0" applyFont="1" applyFill="1" applyBorder="1" applyAlignment="1">
      <alignment horizontal="left" vertical="center" wrapText="1"/>
    </xf>
    <xf numFmtId="0" fontId="12" fillId="17" borderId="24" xfId="0" applyFont="1" applyFill="1" applyBorder="1" applyAlignment="1">
      <alignment horizontal="left" vertical="center" wrapText="1"/>
    </xf>
    <xf numFmtId="0" fontId="12" fillId="17" borderId="46" xfId="0" applyFont="1" applyFill="1" applyBorder="1" applyAlignment="1">
      <alignment horizontal="left" vertical="center" wrapText="1"/>
    </xf>
    <xf numFmtId="0" fontId="11" fillId="5"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164" fontId="6" fillId="5" borderId="1" xfId="1" applyFont="1" applyFill="1" applyBorder="1" applyAlignment="1">
      <alignment horizontal="center" vertical="center" wrapText="1"/>
    </xf>
    <xf numFmtId="10" fontId="11" fillId="5" borderId="2" xfId="0" applyNumberFormat="1" applyFont="1" applyFill="1" applyBorder="1" applyAlignment="1">
      <alignment horizontal="center" vertical="center" wrapText="1"/>
    </xf>
    <xf numFmtId="9" fontId="11" fillId="5" borderId="2" xfId="0" applyNumberFormat="1" applyFont="1" applyFill="1" applyBorder="1" applyAlignment="1">
      <alignment horizontal="center" vertical="center" wrapText="1"/>
    </xf>
    <xf numFmtId="0" fontId="11" fillId="5" borderId="10" xfId="0" applyFont="1" applyFill="1" applyBorder="1" applyAlignment="1">
      <alignment horizontal="center" vertical="center" wrapText="1"/>
    </xf>
    <xf numFmtId="0" fontId="6" fillId="5" borderId="10" xfId="0" applyFont="1" applyFill="1" applyBorder="1" applyAlignment="1">
      <alignment horizontal="center" vertical="center" wrapText="1"/>
    </xf>
    <xf numFmtId="10" fontId="11" fillId="5" borderId="10" xfId="0" applyNumberFormat="1" applyFont="1" applyFill="1" applyBorder="1" applyAlignment="1">
      <alignment horizontal="center" vertical="center" wrapText="1"/>
    </xf>
    <xf numFmtId="9" fontId="11" fillId="5" borderId="10" xfId="0" applyNumberFormat="1" applyFont="1" applyFill="1" applyBorder="1" applyAlignment="1">
      <alignment horizontal="center" vertical="center" wrapText="1"/>
    </xf>
    <xf numFmtId="0" fontId="11" fillId="5" borderId="3" xfId="0" applyFont="1" applyFill="1" applyBorder="1" applyAlignment="1">
      <alignment horizontal="center" vertical="center" wrapText="1"/>
    </xf>
    <xf numFmtId="0" fontId="6" fillId="5" borderId="3" xfId="0" applyFont="1" applyFill="1" applyBorder="1" applyAlignment="1">
      <alignment horizontal="center" vertical="center" wrapText="1"/>
    </xf>
    <xf numFmtId="10" fontId="11" fillId="5" borderId="3" xfId="0" applyNumberFormat="1" applyFont="1" applyFill="1" applyBorder="1" applyAlignment="1">
      <alignment horizontal="center" vertical="center" wrapText="1"/>
    </xf>
    <xf numFmtId="9" fontId="11" fillId="5" borderId="3" xfId="0" applyNumberFormat="1" applyFont="1" applyFill="1" applyBorder="1" applyAlignment="1">
      <alignment horizontal="center" vertical="center" wrapText="1"/>
    </xf>
    <xf numFmtId="0" fontId="11" fillId="5" borderId="47" xfId="0" applyFont="1" applyFill="1" applyBorder="1" applyAlignment="1">
      <alignment horizontal="left" vertical="center" wrapText="1"/>
    </xf>
    <xf numFmtId="164" fontId="11" fillId="5" borderId="10" xfId="1" applyFont="1" applyFill="1" applyBorder="1" applyAlignment="1">
      <alignment horizontal="center" vertical="center" wrapText="1"/>
    </xf>
    <xf numFmtId="0" fontId="11" fillId="5" borderId="36" xfId="0" applyFont="1" applyFill="1" applyBorder="1" applyAlignment="1">
      <alignment horizontal="center" vertical="center" wrapText="1"/>
    </xf>
    <xf numFmtId="0" fontId="11" fillId="5" borderId="48" xfId="0" applyFont="1" applyFill="1" applyBorder="1" applyAlignment="1">
      <alignment horizontal="left" vertical="center" wrapText="1"/>
    </xf>
    <xf numFmtId="164" fontId="11" fillId="5" borderId="3" xfId="1" applyFont="1" applyFill="1" applyBorder="1" applyAlignment="1">
      <alignment horizontal="center" vertical="center" wrapText="1"/>
    </xf>
    <xf numFmtId="0" fontId="11" fillId="5" borderId="37" xfId="0" applyFont="1" applyFill="1" applyBorder="1" applyAlignment="1">
      <alignment horizontal="center" vertical="center" wrapText="1"/>
    </xf>
    <xf numFmtId="164" fontId="11" fillId="5" borderId="1" xfId="1" applyFont="1" applyFill="1" applyBorder="1" applyAlignment="1">
      <alignment horizontal="right" vertical="center" wrapText="1"/>
    </xf>
    <xf numFmtId="9" fontId="11" fillId="5" borderId="1" xfId="0" applyNumberFormat="1" applyFont="1" applyFill="1" applyBorder="1" applyAlignment="1">
      <alignment horizontal="center" vertical="center" wrapText="1"/>
    </xf>
    <xf numFmtId="9" fontId="11" fillId="5" borderId="11" xfId="11" applyFont="1" applyFill="1" applyBorder="1" applyAlignment="1">
      <alignment horizontal="center" vertical="center" wrapText="1"/>
    </xf>
    <xf numFmtId="0" fontId="12" fillId="17" borderId="49" xfId="0" applyFont="1" applyFill="1" applyBorder="1" applyAlignment="1">
      <alignment horizontal="left" vertical="center"/>
    </xf>
    <xf numFmtId="0" fontId="12" fillId="17" borderId="50" xfId="0" applyFont="1" applyFill="1" applyBorder="1" applyAlignment="1">
      <alignment horizontal="left" vertical="center"/>
    </xf>
    <xf numFmtId="0" fontId="12" fillId="17" borderId="50" xfId="0" applyFont="1" applyFill="1" applyBorder="1" applyAlignment="1">
      <alignment vertical="center" wrapText="1"/>
    </xf>
    <xf numFmtId="0" fontId="12" fillId="17" borderId="50" xfId="0" applyFont="1" applyFill="1" applyBorder="1" applyAlignment="1">
      <alignment horizontal="center" vertical="center" wrapText="1"/>
    </xf>
    <xf numFmtId="0" fontId="12" fillId="17" borderId="50" xfId="0" applyFont="1" applyFill="1" applyBorder="1" applyAlignment="1">
      <alignment horizontal="right" vertical="center" wrapText="1"/>
    </xf>
    <xf numFmtId="0" fontId="12" fillId="17" borderId="35" xfId="0" applyFont="1" applyFill="1" applyBorder="1" applyAlignment="1">
      <alignment vertical="center" wrapText="1"/>
    </xf>
    <xf numFmtId="0" fontId="11" fillId="5" borderId="3" xfId="0" applyFont="1" applyFill="1" applyBorder="1" applyAlignment="1">
      <alignment horizontal="center" vertical="center" wrapText="1"/>
    </xf>
    <xf numFmtId="10" fontId="6" fillId="5" borderId="3" xfId="0" applyNumberFormat="1" applyFont="1" applyFill="1" applyBorder="1" applyAlignment="1">
      <alignment horizontal="center" vertical="center" wrapText="1"/>
    </xf>
    <xf numFmtId="9" fontId="11" fillId="5" borderId="43" xfId="0" applyNumberFormat="1"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2" xfId="0" applyFont="1" applyFill="1" applyBorder="1" applyAlignment="1">
      <alignment vertical="center" wrapText="1"/>
    </xf>
    <xf numFmtId="0" fontId="11" fillId="5" borderId="2" xfId="0" applyFont="1" applyFill="1" applyBorder="1" applyAlignment="1">
      <alignment horizontal="center" vertical="center" wrapText="1"/>
    </xf>
    <xf numFmtId="164" fontId="11" fillId="5" borderId="2" xfId="1" applyFont="1" applyFill="1" applyBorder="1" applyAlignment="1">
      <alignment horizontal="right" vertical="center" wrapText="1"/>
    </xf>
    <xf numFmtId="10" fontId="11" fillId="5" borderId="2" xfId="0" applyNumberFormat="1" applyFont="1" applyFill="1" applyBorder="1" applyAlignment="1">
      <alignment horizontal="center" vertical="center" wrapText="1"/>
    </xf>
    <xf numFmtId="9" fontId="11" fillId="5" borderId="18" xfId="0" applyNumberFormat="1" applyFont="1" applyFill="1" applyBorder="1" applyAlignment="1">
      <alignment horizontal="center" vertical="center" wrapText="1"/>
    </xf>
    <xf numFmtId="164" fontId="6" fillId="5" borderId="2" xfId="1" applyFont="1" applyFill="1" applyBorder="1" applyAlignment="1">
      <alignment horizontal="center" vertical="center" wrapText="1"/>
    </xf>
    <xf numFmtId="164" fontId="6" fillId="5" borderId="3" xfId="1" applyFont="1" applyFill="1" applyBorder="1" applyAlignment="1">
      <alignment horizontal="center" vertical="center" wrapText="1"/>
    </xf>
    <xf numFmtId="0" fontId="11" fillId="5" borderId="1" xfId="0" applyFont="1" applyFill="1" applyBorder="1" applyAlignment="1">
      <alignment horizontal="center" vertical="center" wrapText="1"/>
    </xf>
    <xf numFmtId="0" fontId="12" fillId="17" borderId="49" xfId="0" applyFont="1" applyFill="1" applyBorder="1" applyAlignment="1">
      <alignment horizontal="left" vertical="center" wrapText="1"/>
    </xf>
    <xf numFmtId="0" fontId="12" fillId="17" borderId="50" xfId="0" applyFont="1" applyFill="1" applyBorder="1" applyAlignment="1">
      <alignment horizontal="left" vertical="center" wrapText="1"/>
    </xf>
    <xf numFmtId="0" fontId="12" fillId="17" borderId="51" xfId="0" applyFont="1" applyFill="1" applyBorder="1" applyAlignment="1">
      <alignment horizontal="left" vertical="center" wrapText="1"/>
    </xf>
    <xf numFmtId="0" fontId="6" fillId="5" borderId="2" xfId="6" applyFont="1" applyFill="1" applyBorder="1" applyAlignment="1">
      <alignment horizontal="center" vertical="center"/>
    </xf>
    <xf numFmtId="0" fontId="6" fillId="5" borderId="2" xfId="6" applyFont="1" applyFill="1" applyBorder="1" applyAlignment="1">
      <alignment vertical="center" wrapText="1"/>
    </xf>
    <xf numFmtId="0" fontId="6" fillId="5" borderId="1" xfId="6" applyFont="1" applyFill="1" applyBorder="1" applyAlignment="1">
      <alignment horizontal="center" vertical="center" wrapText="1"/>
    </xf>
    <xf numFmtId="0" fontId="6" fillId="5" borderId="2" xfId="0" applyFont="1" applyFill="1" applyBorder="1" applyAlignment="1">
      <alignment horizontal="center" vertical="center" wrapText="1"/>
    </xf>
    <xf numFmtId="164" fontId="6" fillId="5" borderId="2" xfId="6" applyNumberFormat="1" applyFont="1" applyFill="1" applyBorder="1" applyAlignment="1">
      <alignment horizontal="center" vertical="center"/>
    </xf>
    <xf numFmtId="0" fontId="6" fillId="5" borderId="2" xfId="6" applyFont="1" applyFill="1" applyBorder="1" applyAlignment="1">
      <alignment horizontal="center" vertical="center" wrapText="1"/>
    </xf>
    <xf numFmtId="43" fontId="6" fillId="5" borderId="2" xfId="5" applyFont="1" applyFill="1" applyBorder="1" applyAlignment="1">
      <alignment horizontal="right" vertical="center" wrapText="1"/>
    </xf>
    <xf numFmtId="9" fontId="6" fillId="5" borderId="2" xfId="6" applyNumberFormat="1" applyFont="1" applyFill="1" applyBorder="1" applyAlignment="1">
      <alignment horizontal="center" vertical="center"/>
    </xf>
    <xf numFmtId="9" fontId="6" fillId="5" borderId="18" xfId="6" applyNumberFormat="1" applyFont="1" applyFill="1" applyBorder="1" applyAlignment="1">
      <alignment horizontal="center" vertical="center"/>
    </xf>
    <xf numFmtId="0" fontId="11" fillId="5" borderId="1" xfId="6" applyFont="1" applyFill="1" applyBorder="1" applyAlignment="1">
      <alignment horizontal="center" vertical="center"/>
    </xf>
    <xf numFmtId="0" fontId="11" fillId="5" borderId="1" xfId="6" applyFont="1" applyFill="1" applyBorder="1" applyAlignment="1">
      <alignment vertical="center" wrapText="1"/>
    </xf>
    <xf numFmtId="0" fontId="11" fillId="5" borderId="1" xfId="6" applyFont="1" applyFill="1" applyBorder="1" applyAlignment="1">
      <alignment horizontal="center" vertical="center" wrapText="1"/>
    </xf>
    <xf numFmtId="164" fontId="11" fillId="5" borderId="1" xfId="6" applyNumberFormat="1" applyFont="1" applyFill="1" applyBorder="1" applyAlignment="1">
      <alignment horizontal="center" vertical="center"/>
    </xf>
    <xf numFmtId="43" fontId="11" fillId="5" borderId="1" xfId="5" applyFont="1" applyFill="1" applyBorder="1" applyAlignment="1">
      <alignment horizontal="right" vertical="center" wrapText="1"/>
    </xf>
    <xf numFmtId="10" fontId="11" fillId="5" borderId="1" xfId="6" applyNumberFormat="1" applyFont="1" applyFill="1" applyBorder="1" applyAlignment="1">
      <alignment horizontal="center" vertical="center"/>
    </xf>
    <xf numFmtId="9" fontId="11" fillId="5" borderId="11" xfId="6" applyNumberFormat="1" applyFont="1" applyFill="1" applyBorder="1" applyAlignment="1">
      <alignment horizontal="center" vertical="center"/>
    </xf>
    <xf numFmtId="0" fontId="6" fillId="5" borderId="47" xfId="6" applyFont="1" applyFill="1" applyBorder="1" applyAlignment="1">
      <alignment horizontal="left" vertical="center" wrapText="1"/>
    </xf>
    <xf numFmtId="0" fontId="6" fillId="5" borderId="1" xfId="6" applyFont="1" applyFill="1" applyBorder="1" applyAlignment="1">
      <alignment vertical="center" wrapText="1"/>
    </xf>
    <xf numFmtId="164" fontId="6" fillId="5" borderId="2" xfId="6" applyNumberFormat="1" applyFont="1" applyFill="1" applyBorder="1" applyAlignment="1">
      <alignment horizontal="center" vertical="center"/>
    </xf>
    <xf numFmtId="0" fontId="6" fillId="5" borderId="2" xfId="6" applyFont="1" applyFill="1" applyBorder="1" applyAlignment="1">
      <alignment horizontal="center" vertical="center" wrapText="1"/>
    </xf>
    <xf numFmtId="43" fontId="6" fillId="5" borderId="1" xfId="5" applyFont="1" applyFill="1" applyBorder="1" applyAlignment="1">
      <alignment horizontal="center" vertical="center" wrapText="1"/>
    </xf>
    <xf numFmtId="10" fontId="6" fillId="5" borderId="2" xfId="6" applyNumberFormat="1" applyFont="1" applyFill="1" applyBorder="1" applyAlignment="1">
      <alignment horizontal="center" vertical="center"/>
    </xf>
    <xf numFmtId="164" fontId="6" fillId="5" borderId="3" xfId="6" applyNumberFormat="1" applyFont="1" applyFill="1" applyBorder="1" applyAlignment="1">
      <alignment horizontal="center" vertical="center"/>
    </xf>
    <xf numFmtId="0" fontId="6" fillId="5" borderId="3" xfId="6" applyFont="1" applyFill="1" applyBorder="1" applyAlignment="1">
      <alignment horizontal="center" vertical="center" wrapText="1"/>
    </xf>
    <xf numFmtId="10" fontId="6" fillId="5" borderId="3" xfId="6" applyNumberFormat="1" applyFont="1" applyFill="1" applyBorder="1" applyAlignment="1">
      <alignment horizontal="center" vertical="center"/>
    </xf>
    <xf numFmtId="0" fontId="6" fillId="5" borderId="1" xfId="6" applyFont="1" applyFill="1" applyBorder="1" applyAlignment="1">
      <alignment horizontal="center" vertical="center"/>
    </xf>
    <xf numFmtId="9" fontId="11" fillId="5" borderId="2" xfId="6" applyNumberFormat="1" applyFont="1" applyFill="1" applyBorder="1" applyAlignment="1">
      <alignment horizontal="center" vertical="center"/>
    </xf>
    <xf numFmtId="164" fontId="6" fillId="5" borderId="36" xfId="6" applyNumberFormat="1" applyFont="1" applyFill="1" applyBorder="1" applyAlignment="1">
      <alignment horizontal="center" vertical="center" wrapText="1"/>
    </xf>
    <xf numFmtId="164" fontId="6" fillId="5" borderId="10" xfId="6" applyNumberFormat="1" applyFont="1" applyFill="1" applyBorder="1" applyAlignment="1">
      <alignment horizontal="center" vertical="center"/>
    </xf>
    <xf numFmtId="0" fontId="6" fillId="5" borderId="10" xfId="6" applyFont="1" applyFill="1" applyBorder="1" applyAlignment="1">
      <alignment horizontal="center" vertical="center" wrapText="1"/>
    </xf>
    <xf numFmtId="9" fontId="11" fillId="5" borderId="10" xfId="6" applyNumberFormat="1" applyFont="1" applyFill="1" applyBorder="1" applyAlignment="1">
      <alignment horizontal="center" vertical="center"/>
    </xf>
    <xf numFmtId="164" fontId="6" fillId="5" borderId="52" xfId="6" applyNumberFormat="1" applyFont="1" applyFill="1" applyBorder="1" applyAlignment="1">
      <alignment horizontal="center" vertical="center" wrapText="1"/>
    </xf>
    <xf numFmtId="9" fontId="11" fillId="5" borderId="3" xfId="6" applyNumberFormat="1" applyFont="1" applyFill="1" applyBorder="1" applyAlignment="1">
      <alignment horizontal="center" vertical="center"/>
    </xf>
    <xf numFmtId="164" fontId="6" fillId="5" borderId="37" xfId="6" applyNumberFormat="1" applyFont="1" applyFill="1" applyBorder="1" applyAlignment="1">
      <alignment horizontal="center" vertical="center" wrapText="1"/>
    </xf>
    <xf numFmtId="164" fontId="6" fillId="5" borderId="1" xfId="6" applyNumberFormat="1" applyFont="1" applyFill="1" applyBorder="1" applyAlignment="1">
      <alignment horizontal="center" vertical="center"/>
    </xf>
    <xf numFmtId="43" fontId="6" fillId="5" borderId="1" xfId="5" applyFont="1" applyFill="1" applyBorder="1" applyAlignment="1">
      <alignment horizontal="right" vertical="center" wrapText="1"/>
    </xf>
    <xf numFmtId="9" fontId="6" fillId="5" borderId="1" xfId="6" applyNumberFormat="1" applyFont="1" applyFill="1" applyBorder="1" applyAlignment="1">
      <alignment horizontal="center" vertical="center"/>
    </xf>
    <xf numFmtId="49" fontId="11" fillId="5" borderId="1" xfId="6" applyNumberFormat="1" applyFont="1" applyFill="1" applyBorder="1" applyAlignment="1">
      <alignment horizontal="center" vertical="center" wrapText="1"/>
    </xf>
    <xf numFmtId="0" fontId="6" fillId="5" borderId="35" xfId="0" applyFont="1" applyFill="1" applyBorder="1" applyAlignment="1">
      <alignment horizontal="center" vertical="center" wrapText="1"/>
    </xf>
    <xf numFmtId="0" fontId="11" fillId="5" borderId="50" xfId="6" applyFont="1" applyFill="1" applyBorder="1" applyAlignment="1">
      <alignment vertical="center" wrapText="1"/>
    </xf>
    <xf numFmtId="0" fontId="6" fillId="5" borderId="1" xfId="0" quotePrefix="1" applyFont="1" applyFill="1" applyBorder="1" applyAlignment="1">
      <alignment horizontal="center" vertical="center" wrapText="1"/>
    </xf>
    <xf numFmtId="0" fontId="6" fillId="5" borderId="50" xfId="6" applyFont="1" applyFill="1" applyBorder="1" applyAlignment="1">
      <alignment vertical="center" wrapText="1"/>
    </xf>
    <xf numFmtId="43" fontId="11" fillId="5" borderId="50" xfId="5" applyFont="1" applyFill="1" applyBorder="1" applyAlignment="1">
      <alignment horizontal="right" vertical="center" wrapText="1"/>
    </xf>
    <xf numFmtId="10" fontId="11" fillId="5" borderId="2" xfId="6" applyNumberFormat="1" applyFont="1" applyFill="1" applyBorder="1" applyAlignment="1">
      <alignment horizontal="center" vertical="center"/>
    </xf>
    <xf numFmtId="10" fontId="11" fillId="5" borderId="3" xfId="6" applyNumberFormat="1" applyFont="1" applyFill="1" applyBorder="1" applyAlignment="1">
      <alignment horizontal="center" vertical="center"/>
    </xf>
    <xf numFmtId="0" fontId="6" fillId="5" borderId="1" xfId="6" applyFont="1" applyFill="1" applyBorder="1" applyAlignment="1">
      <alignment horizontal="left" vertical="center" wrapText="1"/>
    </xf>
    <xf numFmtId="0" fontId="6" fillId="5" borderId="50" xfId="6" applyFont="1" applyFill="1" applyBorder="1" applyAlignment="1">
      <alignment horizontal="left" vertical="center" wrapText="1"/>
    </xf>
    <xf numFmtId="0" fontId="12" fillId="17" borderId="49" xfId="0" applyFont="1" applyFill="1" applyBorder="1" applyAlignment="1">
      <alignment vertical="center"/>
    </xf>
    <xf numFmtId="0" fontId="12" fillId="17" borderId="50" xfId="0" applyFont="1" applyFill="1" applyBorder="1" applyAlignment="1">
      <alignment vertical="center"/>
    </xf>
    <xf numFmtId="0" fontId="12" fillId="17" borderId="50" xfId="0" applyFont="1" applyFill="1" applyBorder="1" applyAlignment="1">
      <alignment horizontal="center" vertical="center"/>
    </xf>
    <xf numFmtId="0" fontId="12" fillId="17" borderId="50" xfId="0" applyFont="1" applyFill="1" applyBorder="1" applyAlignment="1">
      <alignment horizontal="right" vertical="center"/>
    </xf>
    <xf numFmtId="0" fontId="12" fillId="17" borderId="35" xfId="0" applyFont="1" applyFill="1" applyBorder="1" applyAlignment="1">
      <alignment vertical="center"/>
    </xf>
    <xf numFmtId="0" fontId="11" fillId="5" borderId="2" xfId="6" applyFont="1" applyFill="1" applyBorder="1" applyAlignment="1">
      <alignment horizontal="center" vertical="center"/>
    </xf>
    <xf numFmtId="0" fontId="11" fillId="5" borderId="2" xfId="6" applyFont="1" applyFill="1" applyBorder="1" applyAlignment="1">
      <alignment horizontal="center" vertical="center" wrapText="1"/>
    </xf>
    <xf numFmtId="164" fontId="11" fillId="5" borderId="2" xfId="6" applyNumberFormat="1" applyFont="1" applyFill="1" applyBorder="1" applyAlignment="1">
      <alignment horizontal="center" vertical="center"/>
    </xf>
    <xf numFmtId="9" fontId="11" fillId="5" borderId="2" xfId="6" applyNumberFormat="1" applyFont="1" applyFill="1" applyBorder="1" applyAlignment="1">
      <alignment horizontal="center" vertical="center"/>
    </xf>
    <xf numFmtId="9" fontId="11" fillId="5" borderId="18" xfId="6" applyNumberFormat="1" applyFont="1" applyFill="1" applyBorder="1" applyAlignment="1">
      <alignment horizontal="center" vertical="center"/>
    </xf>
    <xf numFmtId="164" fontId="6" fillId="5" borderId="35" xfId="6" applyNumberFormat="1" applyFont="1" applyFill="1" applyBorder="1" applyAlignment="1">
      <alignment horizontal="center" vertical="center" wrapText="1"/>
    </xf>
    <xf numFmtId="43" fontId="6" fillId="5" borderId="1" xfId="5" applyFont="1" applyFill="1" applyBorder="1" applyAlignment="1">
      <alignment horizontal="center" vertical="center" wrapText="1"/>
    </xf>
    <xf numFmtId="9" fontId="11" fillId="5" borderId="1" xfId="6" applyNumberFormat="1" applyFont="1" applyFill="1" applyBorder="1" applyAlignment="1">
      <alignment horizontal="center" vertical="center"/>
    </xf>
    <xf numFmtId="0" fontId="6" fillId="5" borderId="34" xfId="0" applyFont="1" applyFill="1" applyBorder="1" applyAlignment="1">
      <alignment vertical="center" wrapText="1"/>
    </xf>
    <xf numFmtId="0" fontId="6" fillId="5" borderId="36" xfId="0" applyFont="1" applyFill="1" applyBorder="1" applyAlignment="1">
      <alignment horizontal="center" vertical="center"/>
    </xf>
    <xf numFmtId="0" fontId="6" fillId="5" borderId="37" xfId="0" applyFont="1" applyFill="1" applyBorder="1" applyAlignment="1">
      <alignment horizontal="center" vertical="center"/>
    </xf>
    <xf numFmtId="164" fontId="6" fillId="5" borderId="1" xfId="6" applyNumberFormat="1" applyFont="1" applyFill="1" applyBorder="1" applyAlignment="1">
      <alignment horizontal="center" vertical="center" wrapText="1"/>
    </xf>
    <xf numFmtId="0" fontId="10" fillId="17" borderId="49" xfId="0" applyFont="1" applyFill="1" applyBorder="1" applyAlignment="1">
      <alignment vertical="center"/>
    </xf>
    <xf numFmtId="0" fontId="10" fillId="17" borderId="50" xfId="0" applyFont="1" applyFill="1" applyBorder="1" applyAlignment="1">
      <alignment vertical="center"/>
    </xf>
    <xf numFmtId="0" fontId="10" fillId="17" borderId="50" xfId="0" applyFont="1" applyFill="1" applyBorder="1" applyAlignment="1">
      <alignment vertical="center" wrapText="1"/>
    </xf>
    <xf numFmtId="0" fontId="10" fillId="17" borderId="50" xfId="0" applyFont="1" applyFill="1" applyBorder="1" applyAlignment="1">
      <alignment horizontal="center" vertical="center" wrapText="1"/>
    </xf>
    <xf numFmtId="0" fontId="10" fillId="17" borderId="50" xfId="0" applyFont="1" applyFill="1" applyBorder="1" applyAlignment="1">
      <alignment horizontal="right" vertical="center" wrapText="1"/>
    </xf>
    <xf numFmtId="0" fontId="10" fillId="17" borderId="37" xfId="0" applyFont="1" applyFill="1" applyBorder="1" applyAlignment="1">
      <alignment vertical="center" wrapText="1"/>
    </xf>
    <xf numFmtId="4" fontId="11" fillId="5" borderId="1" xfId="1" applyNumberFormat="1" applyFont="1" applyFill="1" applyBorder="1" applyAlignment="1">
      <alignment horizontal="right" vertical="center" wrapText="1"/>
    </xf>
    <xf numFmtId="9" fontId="11" fillId="5" borderId="1" xfId="0" applyNumberFormat="1" applyFont="1" applyFill="1" applyBorder="1" applyAlignment="1">
      <alignment horizontal="center" vertical="center"/>
    </xf>
    <xf numFmtId="9" fontId="11" fillId="5" borderId="11" xfId="0" applyNumberFormat="1" applyFont="1" applyFill="1" applyBorder="1" applyAlignment="1">
      <alignment horizontal="center" vertical="center"/>
    </xf>
    <xf numFmtId="164" fontId="11" fillId="5" borderId="35" xfId="6" applyNumberFormat="1" applyFont="1" applyFill="1" applyBorder="1" applyAlignment="1">
      <alignment horizontal="center" vertical="center" wrapText="1"/>
    </xf>
    <xf numFmtId="0" fontId="11" fillId="5" borderId="50" xfId="0" applyFont="1" applyFill="1" applyBorder="1" applyAlignment="1">
      <alignment vertical="center" wrapText="1"/>
    </xf>
    <xf numFmtId="4" fontId="11" fillId="5" borderId="50" xfId="1" applyNumberFormat="1" applyFont="1" applyFill="1" applyBorder="1" applyAlignment="1">
      <alignment horizontal="right" vertical="center" wrapText="1"/>
    </xf>
    <xf numFmtId="0" fontId="6" fillId="5" borderId="52" xfId="0" applyFont="1" applyFill="1" applyBorder="1" applyAlignment="1">
      <alignment horizontal="center" vertical="center"/>
    </xf>
    <xf numFmtId="0" fontId="10" fillId="17" borderId="35" xfId="0" applyFont="1" applyFill="1" applyBorder="1" applyAlignment="1">
      <alignment vertical="center" wrapText="1"/>
    </xf>
    <xf numFmtId="10" fontId="11" fillId="5" borderId="1" xfId="0" applyNumberFormat="1" applyFont="1" applyFill="1" applyBorder="1" applyAlignment="1">
      <alignment horizontal="center" vertical="center"/>
    </xf>
    <xf numFmtId="10" fontId="15" fillId="5" borderId="1" xfId="0" applyNumberFormat="1" applyFont="1" applyFill="1" applyBorder="1" applyAlignment="1">
      <alignment horizontal="center" vertical="center"/>
    </xf>
    <xf numFmtId="0" fontId="11" fillId="5" borderId="34" xfId="0" applyFont="1" applyFill="1" applyBorder="1" applyAlignment="1">
      <alignment horizontal="left" vertical="center" wrapText="1"/>
    </xf>
    <xf numFmtId="0" fontId="11" fillId="5" borderId="50" xfId="0" applyFont="1" applyFill="1" applyBorder="1" applyAlignment="1">
      <alignment horizontal="center" vertical="center" wrapText="1"/>
    </xf>
    <xf numFmtId="10" fontId="11" fillId="5" borderId="11" xfId="0" applyNumberFormat="1" applyFont="1" applyFill="1" applyBorder="1" applyAlignment="1">
      <alignment horizontal="center" vertical="center"/>
    </xf>
    <xf numFmtId="0" fontId="6" fillId="5" borderId="47" xfId="0" applyFont="1" applyFill="1" applyBorder="1" applyAlignment="1">
      <alignment horizontal="left" vertical="center" wrapText="1"/>
    </xf>
    <xf numFmtId="164" fontId="11" fillId="5" borderId="2" xfId="1" applyFont="1" applyFill="1" applyBorder="1" applyAlignment="1">
      <alignment horizontal="center" vertical="center" wrapText="1"/>
    </xf>
    <xf numFmtId="9" fontId="11" fillId="5" borderId="2" xfId="0" applyNumberFormat="1" applyFont="1" applyFill="1" applyBorder="1" applyAlignment="1">
      <alignment horizontal="center" vertical="center"/>
    </xf>
    <xf numFmtId="164" fontId="11" fillId="5" borderId="36" xfId="6" applyNumberFormat="1" applyFont="1" applyFill="1" applyBorder="1" applyAlignment="1">
      <alignment horizontal="center" vertical="center" wrapText="1"/>
    </xf>
    <xf numFmtId="0" fontId="6" fillId="5" borderId="53" xfId="0" applyFont="1" applyFill="1" applyBorder="1" applyAlignment="1">
      <alignment horizontal="left" vertical="center" wrapText="1"/>
    </xf>
    <xf numFmtId="9" fontId="11" fillId="5" borderId="10" xfId="0" applyNumberFormat="1" applyFont="1" applyFill="1" applyBorder="1" applyAlignment="1">
      <alignment horizontal="center" vertical="center"/>
    </xf>
    <xf numFmtId="164" fontId="11" fillId="5" borderId="52" xfId="6" applyNumberFormat="1" applyFont="1" applyFill="1" applyBorder="1" applyAlignment="1">
      <alignment horizontal="center" vertical="center" wrapText="1"/>
    </xf>
    <xf numFmtId="0" fontId="6" fillId="5" borderId="48" xfId="0" applyFont="1" applyFill="1" applyBorder="1" applyAlignment="1">
      <alignment horizontal="left" vertical="center" wrapText="1"/>
    </xf>
    <xf numFmtId="9" fontId="11" fillId="5" borderId="3" xfId="0" applyNumberFormat="1" applyFont="1" applyFill="1" applyBorder="1" applyAlignment="1">
      <alignment horizontal="center" vertical="center"/>
    </xf>
    <xf numFmtId="164" fontId="11" fillId="5" borderId="37" xfId="6" applyNumberFormat="1" applyFont="1" applyFill="1" applyBorder="1" applyAlignment="1">
      <alignment horizontal="center" vertical="center" wrapText="1"/>
    </xf>
    <xf numFmtId="0" fontId="11" fillId="5" borderId="1" xfId="0" applyFont="1" applyFill="1" applyBorder="1" applyAlignment="1">
      <alignment vertical="center"/>
    </xf>
    <xf numFmtId="0" fontId="11" fillId="5" borderId="47" xfId="0" applyFont="1" applyFill="1" applyBorder="1" applyAlignment="1">
      <alignment vertical="center" wrapText="1"/>
    </xf>
    <xf numFmtId="43" fontId="11" fillId="5" borderId="1" xfId="12" applyFont="1" applyFill="1" applyBorder="1" applyAlignment="1">
      <alignment horizontal="left" vertical="center" wrapText="1"/>
    </xf>
    <xf numFmtId="164" fontId="11" fillId="5" borderId="1" xfId="1" applyFont="1" applyFill="1" applyBorder="1" applyAlignment="1">
      <alignment horizontal="left" vertical="center" wrapText="1"/>
    </xf>
    <xf numFmtId="0" fontId="11" fillId="5" borderId="2" xfId="6" applyFont="1" applyFill="1" applyBorder="1" applyAlignment="1">
      <alignment horizontal="center" vertical="center" wrapText="1"/>
    </xf>
    <xf numFmtId="10" fontId="11" fillId="5" borderId="2" xfId="0" applyNumberFormat="1" applyFont="1" applyFill="1" applyBorder="1" applyAlignment="1">
      <alignment horizontal="center" vertical="center"/>
    </xf>
    <xf numFmtId="0" fontId="11" fillId="5" borderId="3" xfId="6" applyFont="1" applyFill="1" applyBorder="1" applyAlignment="1">
      <alignment horizontal="center" vertical="center" wrapText="1"/>
    </xf>
    <xf numFmtId="10" fontId="11" fillId="5" borderId="3" xfId="0" applyNumberFormat="1" applyFont="1" applyFill="1" applyBorder="1" applyAlignment="1">
      <alignment horizontal="center" vertical="center"/>
    </xf>
    <xf numFmtId="0" fontId="11" fillId="5" borderId="10" xfId="6" applyFont="1" applyFill="1" applyBorder="1" applyAlignment="1">
      <alignment horizontal="center" vertical="center" wrapText="1"/>
    </xf>
    <xf numFmtId="0" fontId="11" fillId="5" borderId="52" xfId="0" applyFont="1" applyFill="1" applyBorder="1" applyAlignment="1">
      <alignment horizontal="center" vertical="center" wrapText="1"/>
    </xf>
    <xf numFmtId="0" fontId="10" fillId="17" borderId="34" xfId="0" applyFont="1" applyFill="1" applyBorder="1" applyAlignment="1">
      <alignment vertical="center"/>
    </xf>
    <xf numFmtId="164" fontId="6" fillId="5" borderId="1" xfId="1" applyFont="1" applyFill="1" applyBorder="1" applyAlignment="1">
      <alignment horizontal="right" vertical="center" wrapText="1"/>
    </xf>
    <xf numFmtId="49" fontId="6" fillId="5" borderId="1" xfId="0" applyNumberFormat="1" applyFont="1" applyFill="1" applyBorder="1" applyAlignment="1">
      <alignment horizontal="center" vertical="center" wrapText="1"/>
    </xf>
    <xf numFmtId="10" fontId="6" fillId="5" borderId="1" xfId="0" applyNumberFormat="1" applyFont="1" applyFill="1" applyBorder="1" applyAlignment="1">
      <alignment horizontal="center" vertical="center"/>
    </xf>
    <xf numFmtId="9" fontId="6" fillId="5" borderId="1" xfId="0" applyNumberFormat="1" applyFont="1" applyFill="1" applyBorder="1" applyAlignment="1">
      <alignment horizontal="center" vertical="center"/>
    </xf>
    <xf numFmtId="9" fontId="6" fillId="5" borderId="11" xfId="0" applyNumberFormat="1" applyFont="1" applyFill="1" applyBorder="1" applyAlignment="1">
      <alignment horizontal="center" vertical="center"/>
    </xf>
    <xf numFmtId="10" fontId="6" fillId="5" borderId="2" xfId="0" applyNumberFormat="1" applyFont="1" applyFill="1" applyBorder="1" applyAlignment="1">
      <alignment horizontal="center" vertical="center"/>
    </xf>
    <xf numFmtId="9" fontId="6" fillId="5" borderId="2" xfId="0" applyNumberFormat="1" applyFont="1" applyFill="1" applyBorder="1" applyAlignment="1">
      <alignment horizontal="center" vertical="center"/>
    </xf>
    <xf numFmtId="0" fontId="6" fillId="5" borderId="50" xfId="0" applyFont="1" applyFill="1" applyBorder="1" applyAlignment="1">
      <alignment vertical="center" wrapText="1"/>
    </xf>
    <xf numFmtId="164" fontId="6" fillId="5" borderId="10" xfId="1" applyFont="1" applyFill="1" applyBorder="1" applyAlignment="1">
      <alignment horizontal="center" vertical="center" wrapText="1"/>
    </xf>
    <xf numFmtId="10" fontId="6" fillId="5" borderId="10" xfId="0" applyNumberFormat="1" applyFont="1" applyFill="1" applyBorder="1" applyAlignment="1">
      <alignment horizontal="center" vertical="center"/>
    </xf>
    <xf numFmtId="9" fontId="6" fillId="5" borderId="10" xfId="0" applyNumberFormat="1" applyFont="1" applyFill="1" applyBorder="1" applyAlignment="1">
      <alignment horizontal="center" vertical="center"/>
    </xf>
    <xf numFmtId="10" fontId="6" fillId="5" borderId="3" xfId="0" applyNumberFormat="1" applyFont="1" applyFill="1" applyBorder="1" applyAlignment="1">
      <alignment horizontal="center" vertical="center"/>
    </xf>
    <xf numFmtId="9" fontId="6" fillId="5" borderId="3" xfId="0" applyNumberFormat="1" applyFont="1" applyFill="1" applyBorder="1" applyAlignment="1">
      <alignment horizontal="center" vertical="center"/>
    </xf>
    <xf numFmtId="9" fontId="6" fillId="5" borderId="1" xfId="0" applyNumberFormat="1" applyFont="1" applyFill="1" applyBorder="1" applyAlignment="1">
      <alignment horizontal="center" vertical="center"/>
    </xf>
    <xf numFmtId="0" fontId="10" fillId="17" borderId="54" xfId="0" applyFont="1" applyFill="1" applyBorder="1" applyAlignment="1">
      <alignment vertical="center"/>
    </xf>
    <xf numFmtId="0" fontId="10" fillId="17" borderId="55" xfId="0" applyFont="1" applyFill="1" applyBorder="1" applyAlignment="1">
      <alignment vertical="center"/>
    </xf>
    <xf numFmtId="0" fontId="10" fillId="17" borderId="55" xfId="0" applyFont="1" applyFill="1" applyBorder="1" applyAlignment="1">
      <alignment vertical="center" wrapText="1"/>
    </xf>
    <xf numFmtId="0" fontId="10" fillId="17" borderId="55" xfId="0" applyFont="1" applyFill="1" applyBorder="1" applyAlignment="1">
      <alignment horizontal="center" vertical="center" wrapText="1"/>
    </xf>
    <xf numFmtId="0" fontId="10" fillId="17" borderId="55" xfId="0" applyFont="1" applyFill="1" applyBorder="1" applyAlignment="1">
      <alignment horizontal="right" vertical="center" wrapText="1"/>
    </xf>
    <xf numFmtId="0" fontId="11" fillId="5" borderId="11" xfId="0" applyFont="1" applyFill="1" applyBorder="1" applyAlignment="1">
      <alignment vertical="center" wrapText="1"/>
    </xf>
    <xf numFmtId="164" fontId="11" fillId="5" borderId="11" xfId="1" applyFont="1" applyFill="1" applyBorder="1" applyAlignment="1">
      <alignment horizontal="center" vertical="center" wrapText="1"/>
    </xf>
    <xf numFmtId="164" fontId="11" fillId="5" borderId="1" xfId="1" applyFont="1" applyFill="1" applyBorder="1" applyAlignment="1">
      <alignment horizontal="center" vertical="center"/>
    </xf>
    <xf numFmtId="0" fontId="11" fillId="5" borderId="7" xfId="0" applyFont="1" applyFill="1" applyBorder="1" applyAlignment="1">
      <alignment horizontal="center" vertical="center" wrapText="1"/>
    </xf>
    <xf numFmtId="0" fontId="11" fillId="5" borderId="24" xfId="0" applyFont="1" applyFill="1" applyBorder="1" applyAlignment="1">
      <alignment horizontal="center" vertical="center" wrapText="1"/>
    </xf>
    <xf numFmtId="4" fontId="11" fillId="5" borderId="1" xfId="0" applyNumberFormat="1" applyFont="1" applyFill="1" applyBorder="1" applyAlignment="1">
      <alignment horizontal="right" vertical="center" wrapText="1"/>
    </xf>
    <xf numFmtId="0" fontId="6" fillId="5" borderId="11" xfId="0" applyFont="1" applyFill="1" applyBorder="1" applyAlignment="1">
      <alignment vertical="center" wrapText="1"/>
    </xf>
    <xf numFmtId="164" fontId="6" fillId="5" borderId="1" xfId="1" applyFont="1" applyFill="1" applyBorder="1" applyAlignment="1">
      <alignment horizontal="center" vertical="center"/>
    </xf>
    <xf numFmtId="0" fontId="6" fillId="5" borderId="7" xfId="0" applyFont="1" applyFill="1" applyBorder="1" applyAlignment="1">
      <alignment horizontal="center" vertical="center" wrapText="1"/>
    </xf>
    <xf numFmtId="0" fontId="6" fillId="5" borderId="24" xfId="0" applyFont="1" applyFill="1" applyBorder="1" applyAlignment="1">
      <alignment horizontal="center" vertical="center" wrapText="1"/>
    </xf>
    <xf numFmtId="0" fontId="6" fillId="5" borderId="34" xfId="0" applyFont="1" applyFill="1" applyBorder="1" applyAlignment="1">
      <alignment horizontal="left" vertical="center" wrapText="1"/>
    </xf>
    <xf numFmtId="164" fontId="6" fillId="5" borderId="11" xfId="1" applyFont="1" applyFill="1" applyBorder="1" applyAlignment="1">
      <alignment horizontal="center" vertical="center" wrapText="1"/>
    </xf>
    <xf numFmtId="43" fontId="11" fillId="5" borderId="10" xfId="5" applyFont="1" applyFill="1" applyBorder="1" applyAlignment="1">
      <alignment horizontal="center" vertical="center" wrapText="1"/>
    </xf>
    <xf numFmtId="0" fontId="6" fillId="5" borderId="56" xfId="0" applyFont="1" applyFill="1" applyBorder="1" applyAlignment="1">
      <alignment horizontal="center" vertical="center" wrapText="1"/>
    </xf>
    <xf numFmtId="43" fontId="11" fillId="5" borderId="56" xfId="5" applyFont="1" applyFill="1" applyBorder="1" applyAlignment="1">
      <alignment horizontal="center" vertical="center" wrapText="1"/>
    </xf>
    <xf numFmtId="0" fontId="11" fillId="5" borderId="56" xfId="0" applyFont="1" applyFill="1" applyBorder="1" applyAlignment="1">
      <alignment horizontal="center" vertical="center" wrapText="1"/>
    </xf>
    <xf numFmtId="10" fontId="11" fillId="5" borderId="56" xfId="6" applyNumberFormat="1" applyFont="1" applyFill="1" applyBorder="1" applyAlignment="1">
      <alignment horizontal="center" vertical="center"/>
    </xf>
    <xf numFmtId="9" fontId="11" fillId="5" borderId="56" xfId="6" applyNumberFormat="1" applyFont="1" applyFill="1" applyBorder="1" applyAlignment="1">
      <alignment horizontal="center" vertical="center"/>
    </xf>
    <xf numFmtId="43" fontId="11" fillId="5" borderId="1" xfId="12" applyFont="1" applyFill="1" applyBorder="1" applyAlignment="1">
      <alignment horizontal="right" vertical="center"/>
    </xf>
    <xf numFmtId="0" fontId="6" fillId="5" borderId="3" xfId="0" applyFont="1" applyFill="1" applyBorder="1" applyAlignment="1">
      <alignment horizontal="center" vertical="center" wrapText="1"/>
    </xf>
    <xf numFmtId="43" fontId="11" fillId="5" borderId="2" xfId="12" applyFont="1" applyFill="1" applyBorder="1" applyAlignment="1">
      <alignment horizontal="right" vertical="center"/>
    </xf>
    <xf numFmtId="0" fontId="6" fillId="5" borderId="2" xfId="0" applyFont="1" applyFill="1" applyBorder="1" applyAlignment="1">
      <alignment horizontal="center" vertical="center"/>
    </xf>
    <xf numFmtId="43" fontId="11" fillId="5" borderId="2" xfId="12" applyFont="1" applyFill="1" applyBorder="1" applyAlignment="1">
      <alignment horizontal="center" vertical="center"/>
    </xf>
    <xf numFmtId="0" fontId="6" fillId="5" borderId="10" xfId="0" applyFont="1" applyFill="1" applyBorder="1" applyAlignment="1">
      <alignment horizontal="center" vertical="center"/>
    </xf>
    <xf numFmtId="43" fontId="11" fillId="5" borderId="10" xfId="12" applyFont="1" applyFill="1" applyBorder="1" applyAlignment="1">
      <alignment horizontal="center" vertical="center"/>
    </xf>
    <xf numFmtId="0" fontId="6" fillId="5" borderId="3" xfId="0" applyFont="1" applyFill="1" applyBorder="1" applyAlignment="1">
      <alignment horizontal="center" vertical="center"/>
    </xf>
    <xf numFmtId="43" fontId="11" fillId="5" borderId="3" xfId="12" applyFont="1" applyFill="1" applyBorder="1" applyAlignment="1">
      <alignment horizontal="center" vertical="center"/>
    </xf>
    <xf numFmtId="0" fontId="11" fillId="5" borderId="1" xfId="0" applyFont="1" applyFill="1" applyBorder="1" applyAlignment="1">
      <alignment horizontal="left" vertical="center" wrapText="1"/>
    </xf>
    <xf numFmtId="164" fontId="11" fillId="5" borderId="1" xfId="6" applyNumberFormat="1" applyFont="1" applyFill="1" applyBorder="1" applyAlignment="1">
      <alignment horizontal="center" vertical="center"/>
    </xf>
    <xf numFmtId="43" fontId="11" fillId="5" borderId="1" xfId="5" applyFont="1" applyFill="1" applyBorder="1" applyAlignment="1">
      <alignment horizontal="center" vertical="center" wrapText="1"/>
    </xf>
    <xf numFmtId="0" fontId="6" fillId="5" borderId="3" xfId="0" applyFont="1" applyFill="1" applyBorder="1" applyAlignment="1">
      <alignment horizontal="center" vertical="center"/>
    </xf>
    <xf numFmtId="0" fontId="6" fillId="5" borderId="43" xfId="0" applyFont="1" applyFill="1" applyBorder="1" applyAlignment="1">
      <alignment vertical="center" wrapText="1"/>
    </xf>
    <xf numFmtId="164" fontId="6" fillId="5" borderId="3" xfId="1" applyFont="1" applyFill="1" applyBorder="1" applyAlignment="1">
      <alignment horizontal="right" vertical="center"/>
    </xf>
    <xf numFmtId="0" fontId="6" fillId="5" borderId="35" xfId="6" applyFont="1" applyFill="1" applyBorder="1" applyAlignment="1">
      <alignment horizontal="center" vertical="center" wrapText="1"/>
    </xf>
    <xf numFmtId="9" fontId="6" fillId="5" borderId="3" xfId="0" applyNumberFormat="1" applyFont="1" applyFill="1" applyBorder="1" applyAlignment="1">
      <alignment horizontal="center" vertical="center"/>
    </xf>
    <xf numFmtId="9" fontId="6" fillId="5" borderId="43" xfId="0" applyNumberFormat="1" applyFont="1" applyFill="1" applyBorder="1" applyAlignment="1">
      <alignment horizontal="center" vertical="center"/>
    </xf>
    <xf numFmtId="10" fontId="6" fillId="5" borderId="3" xfId="0" applyNumberFormat="1" applyFont="1" applyFill="1" applyBorder="1" applyAlignment="1">
      <alignment horizontal="center" vertical="center"/>
    </xf>
    <xf numFmtId="10" fontId="6" fillId="5" borderId="43" xfId="0" applyNumberFormat="1" applyFont="1" applyFill="1" applyBorder="1" applyAlignment="1">
      <alignment horizontal="center" vertical="center"/>
    </xf>
    <xf numFmtId="0" fontId="6" fillId="5" borderId="47" xfId="0" applyFont="1" applyFill="1" applyBorder="1" applyAlignment="1">
      <alignment vertical="center" wrapText="1"/>
    </xf>
    <xf numFmtId="0" fontId="6" fillId="5" borderId="0" xfId="0" applyFont="1" applyFill="1" applyAlignment="1">
      <alignment vertical="center" wrapText="1"/>
    </xf>
    <xf numFmtId="164" fontId="6" fillId="5" borderId="18" xfId="1" applyFont="1" applyFill="1" applyBorder="1" applyAlignment="1">
      <alignment horizontal="center" vertical="center" wrapText="1"/>
    </xf>
    <xf numFmtId="164" fontId="6" fillId="5" borderId="2" xfId="1" applyFont="1" applyFill="1" applyBorder="1" applyAlignment="1">
      <alignment horizontal="center" vertical="center"/>
    </xf>
    <xf numFmtId="0" fontId="6" fillId="5" borderId="10" xfId="0" applyFont="1" applyFill="1" applyBorder="1" applyAlignment="1">
      <alignment horizontal="center" vertical="center" wrapText="1"/>
    </xf>
    <xf numFmtId="164" fontId="6" fillId="5" borderId="1" xfId="1" applyFont="1" applyFill="1" applyBorder="1" applyAlignment="1">
      <alignment horizontal="center" vertical="center" wrapText="1"/>
    </xf>
    <xf numFmtId="0" fontId="11" fillId="5" borderId="2" xfId="6" applyFont="1" applyFill="1" applyBorder="1" applyAlignment="1">
      <alignment vertical="center" wrapText="1"/>
    </xf>
    <xf numFmtId="10" fontId="6" fillId="5" borderId="1" xfId="6" applyNumberFormat="1" applyFont="1" applyFill="1" applyBorder="1" applyAlignment="1">
      <alignment horizontal="center" vertical="center"/>
    </xf>
    <xf numFmtId="9" fontId="6" fillId="5" borderId="11" xfId="6" applyNumberFormat="1" applyFont="1" applyFill="1" applyBorder="1" applyAlignment="1">
      <alignment horizontal="center" vertical="center"/>
    </xf>
    <xf numFmtId="0" fontId="11" fillId="5" borderId="36" xfId="0" applyFont="1" applyFill="1" applyBorder="1" applyAlignment="1">
      <alignment horizontal="center" vertical="center" wrapText="1"/>
    </xf>
    <xf numFmtId="0" fontId="6" fillId="5" borderId="3" xfId="0" applyFont="1" applyFill="1" applyBorder="1" applyAlignment="1">
      <alignment vertical="center" wrapText="1"/>
    </xf>
    <xf numFmtId="0" fontId="11" fillId="5" borderId="3" xfId="0" applyFont="1" applyFill="1" applyBorder="1" applyAlignment="1">
      <alignment horizontal="center" vertical="center"/>
    </xf>
    <xf numFmtId="43" fontId="6" fillId="5" borderId="2" xfId="5" applyFont="1" applyFill="1" applyBorder="1" applyAlignment="1">
      <alignment horizontal="center" vertical="center" wrapText="1"/>
    </xf>
    <xf numFmtId="10" fontId="6" fillId="5" borderId="2" xfId="11" applyNumberFormat="1" applyFont="1" applyFill="1" applyBorder="1" applyAlignment="1">
      <alignment horizontal="center" vertical="center" wrapText="1"/>
    </xf>
    <xf numFmtId="10" fontId="6" fillId="5" borderId="2" xfId="0" applyNumberFormat="1" applyFont="1" applyFill="1" applyBorder="1" applyAlignment="1">
      <alignment horizontal="center" vertical="center" wrapText="1"/>
    </xf>
    <xf numFmtId="43" fontId="6" fillId="5" borderId="3" xfId="5" applyFont="1" applyFill="1" applyBorder="1" applyAlignment="1">
      <alignment horizontal="center" vertical="center" wrapText="1"/>
    </xf>
    <xf numFmtId="10" fontId="6" fillId="5" borderId="3" xfId="11" applyNumberFormat="1" applyFont="1" applyFill="1" applyBorder="1" applyAlignment="1">
      <alignment horizontal="center" vertical="center" wrapText="1"/>
    </xf>
    <xf numFmtId="10" fontId="6" fillId="5" borderId="3" xfId="0" applyNumberFormat="1" applyFont="1" applyFill="1" applyBorder="1" applyAlignment="1">
      <alignment horizontal="center" vertical="center" wrapText="1"/>
    </xf>
    <xf numFmtId="0" fontId="6" fillId="0" borderId="0" xfId="0" applyFont="1" applyAlignment="1">
      <alignment horizontal="center"/>
    </xf>
    <xf numFmtId="0" fontId="10" fillId="0" borderId="0" xfId="0" applyFont="1" applyAlignment="1">
      <alignment horizontal="center"/>
    </xf>
    <xf numFmtId="0" fontId="10" fillId="0" borderId="0" xfId="0" applyFont="1" applyAlignment="1">
      <alignment horizontal="center"/>
    </xf>
    <xf numFmtId="0" fontId="6" fillId="0" borderId="0" xfId="0" applyFont="1"/>
    <xf numFmtId="0" fontId="10" fillId="2"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164" fontId="10" fillId="2" borderId="1" xfId="1" applyFont="1" applyFill="1" applyBorder="1" applyAlignment="1">
      <alignment horizontal="center" vertical="center" wrapText="1"/>
    </xf>
    <xf numFmtId="0" fontId="10" fillId="2" borderId="1" xfId="0" applyFont="1" applyFill="1" applyBorder="1" applyAlignment="1">
      <alignment horizontal="center" vertical="top" wrapText="1"/>
    </xf>
    <xf numFmtId="0" fontId="10" fillId="2" borderId="3" xfId="0" applyFont="1" applyFill="1" applyBorder="1" applyAlignment="1">
      <alignment horizontal="center" vertical="center" wrapText="1"/>
    </xf>
    <xf numFmtId="0" fontId="10" fillId="2" borderId="1" xfId="0" applyFont="1" applyFill="1" applyBorder="1" applyAlignment="1">
      <alignment horizontal="center" wrapText="1"/>
    </xf>
    <xf numFmtId="0" fontId="10" fillId="2" borderId="1" xfId="0" applyFont="1" applyFill="1" applyBorder="1" applyAlignment="1">
      <alignment horizontal="center" vertical="top" wrapText="1"/>
    </xf>
    <xf numFmtId="164" fontId="10" fillId="2" borderId="1" xfId="1" applyFont="1" applyFill="1" applyBorder="1" applyAlignment="1">
      <alignment horizontal="center" vertical="top" wrapText="1"/>
    </xf>
    <xf numFmtId="0" fontId="10" fillId="18" borderId="24" xfId="0" applyFont="1" applyFill="1" applyBorder="1" applyAlignment="1">
      <alignment horizontal="center" vertical="center"/>
    </xf>
    <xf numFmtId="0" fontId="10" fillId="18" borderId="7" xfId="0" applyFont="1" applyFill="1" applyBorder="1" applyAlignment="1">
      <alignment horizontal="center" vertical="center"/>
    </xf>
    <xf numFmtId="0" fontId="10" fillId="3" borderId="1" xfId="0" applyFont="1" applyFill="1" applyBorder="1"/>
    <xf numFmtId="165" fontId="10" fillId="3" borderId="1" xfId="1" applyNumberFormat="1" applyFont="1" applyFill="1" applyBorder="1" applyAlignment="1">
      <alignment vertical="top" wrapText="1"/>
    </xf>
    <xf numFmtId="164" fontId="10" fillId="3" borderId="1" xfId="1" applyFont="1" applyFill="1" applyBorder="1"/>
    <xf numFmtId="165" fontId="6" fillId="0" borderId="1" xfId="1" applyNumberFormat="1" applyFont="1" applyFill="1" applyBorder="1" applyAlignment="1">
      <alignment vertical="top" wrapText="1"/>
    </xf>
    <xf numFmtId="166" fontId="6" fillId="0" borderId="1" xfId="0" applyNumberFormat="1" applyFont="1" applyBorder="1" applyAlignment="1">
      <alignment vertical="top"/>
    </xf>
    <xf numFmtId="164" fontId="6" fillId="0" borderId="1" xfId="1" applyFont="1" applyFill="1" applyBorder="1" applyAlignment="1">
      <alignment vertical="top"/>
    </xf>
    <xf numFmtId="15" fontId="6" fillId="0" borderId="1" xfId="0" applyNumberFormat="1" applyFont="1" applyBorder="1" applyAlignment="1">
      <alignment vertical="top" wrapText="1"/>
    </xf>
    <xf numFmtId="164" fontId="6" fillId="0" borderId="1" xfId="1" applyFont="1" applyFill="1" applyBorder="1" applyAlignment="1">
      <alignment vertical="top"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165" fontId="6" fillId="0" borderId="2" xfId="1" applyNumberFormat="1" applyFont="1" applyFill="1" applyBorder="1" applyAlignment="1">
      <alignment vertical="top" wrapText="1"/>
    </xf>
    <xf numFmtId="0" fontId="6" fillId="0" borderId="8" xfId="0" applyFont="1" applyBorder="1" applyAlignment="1">
      <alignment horizontal="left" vertical="top" wrapText="1"/>
    </xf>
    <xf numFmtId="0" fontId="6" fillId="0" borderId="7" xfId="0" applyFont="1" applyBorder="1" applyAlignment="1">
      <alignment vertical="top" wrapText="1"/>
    </xf>
    <xf numFmtId="0" fontId="6" fillId="0" borderId="9" xfId="0" applyFont="1" applyBorder="1" applyAlignment="1">
      <alignment horizontal="left" vertical="top" wrapText="1"/>
    </xf>
    <xf numFmtId="0" fontId="6" fillId="4" borderId="1" xfId="0" applyFont="1" applyFill="1" applyBorder="1"/>
    <xf numFmtId="165" fontId="10" fillId="4" borderId="1" xfId="0" applyNumberFormat="1" applyFont="1" applyFill="1" applyBorder="1"/>
    <xf numFmtId="0" fontId="6" fillId="0" borderId="2" xfId="0" applyFont="1" applyBorder="1" applyAlignment="1">
      <alignment horizontal="center" vertical="top"/>
    </xf>
    <xf numFmtId="0" fontId="6" fillId="0" borderId="10" xfId="0" applyFont="1" applyBorder="1" applyAlignment="1">
      <alignment horizontal="center" vertical="top"/>
    </xf>
    <xf numFmtId="0" fontId="6" fillId="0" borderId="3" xfId="0" applyFont="1" applyBorder="1" applyAlignment="1">
      <alignment horizontal="center" vertical="top"/>
    </xf>
    <xf numFmtId="4" fontId="6" fillId="0" borderId="2" xfId="0" quotePrefix="1" applyNumberFormat="1" applyFont="1" applyBorder="1" applyAlignment="1">
      <alignment horizontal="center" vertical="top"/>
    </xf>
    <xf numFmtId="17" fontId="6" fillId="0" borderId="2" xfId="0" quotePrefix="1" applyNumberFormat="1" applyFont="1" applyBorder="1" applyAlignment="1">
      <alignment horizontal="center" vertical="top" wrapText="1"/>
    </xf>
    <xf numFmtId="0" fontId="10" fillId="0" borderId="1" xfId="0" applyFont="1" applyBorder="1" applyAlignment="1">
      <alignment horizontal="center" vertical="top" wrapText="1"/>
    </xf>
    <xf numFmtId="0" fontId="6" fillId="5" borderId="1" xfId="0" quotePrefix="1" applyFont="1" applyFill="1" applyBorder="1" applyAlignment="1">
      <alignment horizontal="left" vertical="top" wrapText="1"/>
    </xf>
    <xf numFmtId="0" fontId="10" fillId="6" borderId="1" xfId="0" applyFont="1" applyFill="1" applyBorder="1" applyAlignment="1">
      <alignment horizontal="left" vertical="top" wrapText="1"/>
    </xf>
    <xf numFmtId="0" fontId="6" fillId="6" borderId="1" xfId="0" quotePrefix="1" applyFont="1" applyFill="1" applyBorder="1" applyAlignment="1">
      <alignment horizontal="left" vertical="top" wrapText="1"/>
    </xf>
    <xf numFmtId="0" fontId="10" fillId="2" borderId="10" xfId="0" applyFont="1" applyFill="1" applyBorder="1" applyAlignment="1">
      <alignment horizontal="center" vertical="center" wrapText="1"/>
    </xf>
    <xf numFmtId="164" fontId="10" fillId="2" borderId="3" xfId="1" applyFont="1" applyFill="1" applyBorder="1" applyAlignment="1">
      <alignment horizontal="center" vertical="center" wrapText="1"/>
    </xf>
    <xf numFmtId="0" fontId="10" fillId="2" borderId="3" xfId="0" applyFont="1" applyFill="1" applyBorder="1" applyAlignment="1">
      <alignment horizontal="center" vertical="top" wrapText="1"/>
    </xf>
    <xf numFmtId="166" fontId="15" fillId="5" borderId="1" xfId="0" applyNumberFormat="1" applyFont="1" applyFill="1" applyBorder="1" applyAlignment="1">
      <alignment horizontal="center" vertical="center" wrapText="1"/>
    </xf>
    <xf numFmtId="166" fontId="6" fillId="5" borderId="1" xfId="0" applyNumberFormat="1" applyFont="1" applyFill="1" applyBorder="1" applyAlignment="1">
      <alignment horizontal="center" vertical="center" wrapText="1"/>
    </xf>
    <xf numFmtId="0" fontId="7" fillId="0" borderId="0" xfId="0" applyFont="1" applyBorder="1" applyAlignment="1">
      <alignment vertical="center"/>
    </xf>
  </cellXfs>
  <cellStyles count="13">
    <cellStyle name="Comma" xfId="1" builtinId="3"/>
    <cellStyle name="Comma 2" xfId="4"/>
    <cellStyle name="Comma 2 2" xfId="5"/>
    <cellStyle name="Comma 2 2 2" xfId="12"/>
    <cellStyle name="Comma 3" xfId="2"/>
    <cellStyle name="Comma 4" xfId="10"/>
    <cellStyle name="Normal" xfId="0" builtinId="0"/>
    <cellStyle name="Normal 2" xfId="3"/>
    <cellStyle name="Normal 3" xfId="6"/>
    <cellStyle name="Normal 4" xfId="9"/>
    <cellStyle name="Percent" xfId="11" builtinId="5"/>
    <cellStyle name="Percent 2" xfId="7"/>
    <cellStyle name="Percent 2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81"/>
  <sheetViews>
    <sheetView tabSelected="1" view="pageBreakPreview" topLeftCell="A626" zoomScaleNormal="85" zoomScaleSheetLayoutView="100" workbookViewId="0">
      <selection activeCell="J628" sqref="J628"/>
    </sheetView>
  </sheetViews>
  <sheetFormatPr defaultRowHeight="15" x14ac:dyDescent="0.25"/>
  <cols>
    <col min="1" max="1" width="26.5703125" customWidth="1"/>
    <col min="3" max="3" width="35.7109375" customWidth="1"/>
    <col min="4" max="4" width="17" customWidth="1"/>
    <col min="7" max="7" width="11" customWidth="1"/>
    <col min="9" max="9" width="17.28515625" bestFit="1" customWidth="1"/>
    <col min="10" max="10" width="14.5703125" bestFit="1" customWidth="1"/>
    <col min="11" max="11" width="9.85546875" customWidth="1"/>
    <col min="12" max="12" width="9.28515625" bestFit="1" customWidth="1"/>
    <col min="13" max="13" width="11.7109375" bestFit="1" customWidth="1"/>
  </cols>
  <sheetData>
    <row r="1" spans="1:14" s="1" customFormat="1" ht="15.75" x14ac:dyDescent="0.25">
      <c r="A1" s="850" t="s">
        <v>0</v>
      </c>
      <c r="B1" s="850"/>
      <c r="C1" s="850"/>
      <c r="D1" s="850"/>
      <c r="E1" s="850"/>
      <c r="F1" s="850"/>
      <c r="G1" s="850"/>
      <c r="H1" s="850"/>
      <c r="I1" s="850"/>
      <c r="J1" s="850"/>
      <c r="K1" s="850"/>
      <c r="L1" s="850"/>
      <c r="M1" s="850"/>
      <c r="N1" s="850"/>
    </row>
    <row r="2" spans="1:14" s="1" customFormat="1" ht="15.75" x14ac:dyDescent="0.25">
      <c r="A2" s="850" t="s">
        <v>1</v>
      </c>
      <c r="B2" s="850"/>
      <c r="C2" s="850"/>
      <c r="D2" s="850"/>
      <c r="E2" s="850"/>
      <c r="F2" s="850"/>
      <c r="G2" s="850"/>
      <c r="H2" s="850"/>
      <c r="I2" s="850"/>
      <c r="J2" s="850"/>
      <c r="K2" s="850"/>
      <c r="L2" s="850"/>
      <c r="M2" s="850"/>
      <c r="N2" s="850"/>
    </row>
    <row r="3" spans="1:14" s="1" customFormat="1" ht="15.75" x14ac:dyDescent="0.25">
      <c r="A3" s="851" t="s">
        <v>3</v>
      </c>
      <c r="B3" s="851"/>
      <c r="C3" s="851"/>
      <c r="D3" s="851"/>
      <c r="E3" s="851"/>
      <c r="F3" s="851"/>
      <c r="G3" s="851"/>
      <c r="H3" s="851"/>
      <c r="I3" s="851"/>
      <c r="J3" s="851"/>
      <c r="K3" s="851"/>
      <c r="L3" s="851"/>
      <c r="M3" s="851"/>
      <c r="N3" s="851"/>
    </row>
    <row r="4" spans="1:14" s="1" customFormat="1" ht="15.75" x14ac:dyDescent="0.25">
      <c r="A4" s="851" t="s">
        <v>57</v>
      </c>
      <c r="B4" s="851"/>
      <c r="C4" s="851"/>
      <c r="D4" s="851"/>
      <c r="E4" s="851"/>
      <c r="F4" s="851"/>
      <c r="G4" s="851"/>
      <c r="H4" s="851"/>
      <c r="I4" s="851"/>
      <c r="J4" s="851"/>
      <c r="K4" s="851"/>
      <c r="L4" s="851"/>
      <c r="M4" s="851"/>
      <c r="N4" s="851"/>
    </row>
    <row r="5" spans="1:14" s="1" customFormat="1" ht="15.75" x14ac:dyDescent="0.25">
      <c r="A5" s="852"/>
      <c r="B5" s="852"/>
      <c r="C5" s="852"/>
      <c r="D5" s="852"/>
      <c r="E5" s="852"/>
      <c r="F5" s="852"/>
      <c r="G5" s="852"/>
      <c r="H5" s="852"/>
      <c r="I5" s="852"/>
      <c r="J5" s="852"/>
      <c r="K5" s="852"/>
      <c r="L5" s="852"/>
      <c r="M5" s="852"/>
      <c r="N5" s="852"/>
    </row>
    <row r="6" spans="1:14" s="1" customFormat="1" ht="22.5" customHeight="1" x14ac:dyDescent="0.25">
      <c r="A6" s="853"/>
      <c r="B6" s="853"/>
      <c r="C6" s="853"/>
      <c r="D6" s="853"/>
      <c r="E6" s="853"/>
      <c r="F6" s="853"/>
      <c r="G6" s="853"/>
      <c r="H6" s="853"/>
      <c r="I6" s="853"/>
      <c r="J6" s="853"/>
      <c r="K6" s="853"/>
      <c r="L6" s="853"/>
      <c r="M6" s="853"/>
      <c r="N6" s="853"/>
    </row>
    <row r="7" spans="1:14" s="6" customFormat="1" ht="30" customHeight="1" x14ac:dyDescent="0.3">
      <c r="A7" s="854" t="s">
        <v>4</v>
      </c>
      <c r="B7" s="855" t="s">
        <v>5</v>
      </c>
      <c r="C7" s="854" t="s">
        <v>6</v>
      </c>
      <c r="D7" s="854" t="s">
        <v>7</v>
      </c>
      <c r="E7" s="854" t="s">
        <v>8</v>
      </c>
      <c r="F7" s="854" t="s">
        <v>9</v>
      </c>
      <c r="G7" s="854" t="s">
        <v>10</v>
      </c>
      <c r="H7" s="854" t="s">
        <v>11</v>
      </c>
      <c r="I7" s="856" t="s">
        <v>12</v>
      </c>
      <c r="J7" s="854" t="s">
        <v>13</v>
      </c>
      <c r="K7" s="854"/>
      <c r="L7" s="857" t="s">
        <v>14</v>
      </c>
      <c r="M7" s="857"/>
      <c r="N7" s="854" t="s">
        <v>15</v>
      </c>
    </row>
    <row r="8" spans="1:14" s="6" customFormat="1" ht="27" x14ac:dyDescent="0.3">
      <c r="A8" s="854"/>
      <c r="B8" s="858"/>
      <c r="C8" s="854"/>
      <c r="D8" s="854"/>
      <c r="E8" s="854"/>
      <c r="F8" s="854"/>
      <c r="G8" s="854"/>
      <c r="H8" s="854"/>
      <c r="I8" s="856"/>
      <c r="J8" s="859" t="s">
        <v>16</v>
      </c>
      <c r="K8" s="859" t="s">
        <v>17</v>
      </c>
      <c r="L8" s="860" t="s">
        <v>18</v>
      </c>
      <c r="M8" s="861" t="s">
        <v>19</v>
      </c>
      <c r="N8" s="854"/>
    </row>
    <row r="9" spans="1:14" s="6" customFormat="1" ht="30" customHeight="1" x14ac:dyDescent="0.3">
      <c r="A9" s="17" t="s">
        <v>2</v>
      </c>
      <c r="B9" s="862"/>
      <c r="C9" s="862"/>
      <c r="D9" s="862"/>
      <c r="E9" s="862"/>
      <c r="F9" s="862"/>
      <c r="G9" s="862"/>
      <c r="H9" s="862"/>
      <c r="I9" s="862"/>
      <c r="J9" s="862"/>
      <c r="K9" s="862"/>
      <c r="L9" s="862"/>
      <c r="M9" s="862"/>
      <c r="N9" s="863"/>
    </row>
    <row r="10" spans="1:14" s="3" customFormat="1" ht="16.5" x14ac:dyDescent="0.3">
      <c r="A10" s="864" t="s">
        <v>30</v>
      </c>
      <c r="B10" s="864"/>
      <c r="C10" s="864"/>
      <c r="D10" s="864"/>
      <c r="E10" s="864"/>
      <c r="F10" s="864"/>
      <c r="G10" s="864"/>
      <c r="H10" s="864"/>
      <c r="I10" s="865">
        <f>SUM(I11:I12)</f>
        <v>53000000</v>
      </c>
      <c r="J10" s="866"/>
      <c r="K10" s="866"/>
      <c r="L10" s="866"/>
      <c r="M10" s="866"/>
      <c r="N10" s="864"/>
    </row>
    <row r="11" spans="1:14" s="4" customFormat="1" ht="51" customHeight="1" x14ac:dyDescent="0.3">
      <c r="A11" s="11" t="s">
        <v>20</v>
      </c>
      <c r="B11" s="11" t="s">
        <v>21</v>
      </c>
      <c r="C11" s="11" t="s">
        <v>22</v>
      </c>
      <c r="D11" s="11" t="s">
        <v>58</v>
      </c>
      <c r="E11" s="11" t="s">
        <v>23</v>
      </c>
      <c r="F11" s="11"/>
      <c r="G11" s="11" t="s">
        <v>24</v>
      </c>
      <c r="H11" s="11" t="s">
        <v>25</v>
      </c>
      <c r="I11" s="867">
        <v>50000000</v>
      </c>
      <c r="J11" s="868" t="s">
        <v>26</v>
      </c>
      <c r="K11" s="868" t="s">
        <v>27</v>
      </c>
      <c r="L11" s="273"/>
      <c r="M11" s="869"/>
      <c r="N11" s="273"/>
    </row>
    <row r="12" spans="1:14" s="5" customFormat="1" ht="47.25" customHeight="1" x14ac:dyDescent="0.25">
      <c r="A12" s="11" t="s">
        <v>31</v>
      </c>
      <c r="B12" s="11" t="s">
        <v>21</v>
      </c>
      <c r="C12" s="11" t="s">
        <v>28</v>
      </c>
      <c r="D12" s="11" t="s">
        <v>29</v>
      </c>
      <c r="E12" s="11" t="s">
        <v>23</v>
      </c>
      <c r="F12" s="11"/>
      <c r="G12" s="11" t="s">
        <v>24</v>
      </c>
      <c r="H12" s="11" t="s">
        <v>25</v>
      </c>
      <c r="I12" s="867">
        <v>3000000</v>
      </c>
      <c r="J12" s="408" t="s">
        <v>26</v>
      </c>
      <c r="K12" s="870" t="s">
        <v>27</v>
      </c>
      <c r="L12" s="11"/>
      <c r="M12" s="871"/>
      <c r="N12" s="11"/>
    </row>
    <row r="13" spans="1:14" s="3" customFormat="1" ht="16.5" x14ac:dyDescent="0.3">
      <c r="A13" s="864" t="s">
        <v>42</v>
      </c>
      <c r="B13" s="864"/>
      <c r="C13" s="864"/>
      <c r="D13" s="864"/>
      <c r="E13" s="864"/>
      <c r="F13" s="864"/>
      <c r="G13" s="864"/>
      <c r="H13" s="864"/>
      <c r="I13" s="865">
        <f>SUM(I14:I20)</f>
        <v>1562000</v>
      </c>
      <c r="J13" s="866"/>
      <c r="K13" s="866"/>
      <c r="L13" s="866"/>
      <c r="M13" s="866"/>
      <c r="N13" s="864"/>
    </row>
    <row r="14" spans="1:14" s="4" customFormat="1" ht="123.75" customHeight="1" x14ac:dyDescent="0.3">
      <c r="A14" s="872" t="s">
        <v>59</v>
      </c>
      <c r="B14" s="11" t="s">
        <v>21</v>
      </c>
      <c r="C14" s="11" t="s">
        <v>61</v>
      </c>
      <c r="D14" s="11" t="s">
        <v>63</v>
      </c>
      <c r="E14" s="11" t="s">
        <v>23</v>
      </c>
      <c r="F14" s="11"/>
      <c r="G14" s="11" t="s">
        <v>34</v>
      </c>
      <c r="H14" s="11" t="s">
        <v>25</v>
      </c>
      <c r="I14" s="867">
        <v>119000</v>
      </c>
      <c r="J14" s="408" t="s">
        <v>26</v>
      </c>
      <c r="K14" s="870" t="s">
        <v>27</v>
      </c>
      <c r="L14" s="11"/>
      <c r="M14" s="871"/>
      <c r="N14" s="11"/>
    </row>
    <row r="15" spans="1:14" s="4" customFormat="1" ht="124.5" customHeight="1" x14ac:dyDescent="0.3">
      <c r="A15" s="11" t="s">
        <v>60</v>
      </c>
      <c r="B15" s="11" t="s">
        <v>21</v>
      </c>
      <c r="C15" s="11" t="s">
        <v>62</v>
      </c>
      <c r="D15" s="11" t="s">
        <v>54</v>
      </c>
      <c r="E15" s="11" t="s">
        <v>23</v>
      </c>
      <c r="F15" s="11"/>
      <c r="G15" s="11" t="s">
        <v>24</v>
      </c>
      <c r="H15" s="11" t="s">
        <v>25</v>
      </c>
      <c r="I15" s="867">
        <v>837000</v>
      </c>
      <c r="J15" s="408" t="s">
        <v>26</v>
      </c>
      <c r="K15" s="870" t="s">
        <v>27</v>
      </c>
      <c r="L15" s="11"/>
      <c r="M15" s="871"/>
      <c r="N15" s="11"/>
    </row>
    <row r="16" spans="1:14" s="4" customFormat="1" ht="57.75" customHeight="1" x14ac:dyDescent="0.3">
      <c r="A16" s="872" t="s">
        <v>64</v>
      </c>
      <c r="B16" s="11" t="s">
        <v>21</v>
      </c>
      <c r="C16" s="11" t="s">
        <v>45</v>
      </c>
      <c r="D16" s="11" t="s">
        <v>73</v>
      </c>
      <c r="E16" s="11" t="s">
        <v>23</v>
      </c>
      <c r="F16" s="11"/>
      <c r="G16" s="11" t="s">
        <v>24</v>
      </c>
      <c r="H16" s="11" t="s">
        <v>25</v>
      </c>
      <c r="I16" s="867">
        <v>250000</v>
      </c>
      <c r="J16" s="408" t="s">
        <v>26</v>
      </c>
      <c r="K16" s="870" t="s">
        <v>27</v>
      </c>
      <c r="L16" s="11"/>
      <c r="M16" s="871"/>
      <c r="N16" s="11"/>
    </row>
    <row r="17" spans="1:14" s="4" customFormat="1" ht="63.75" x14ac:dyDescent="0.3">
      <c r="A17" s="872" t="s">
        <v>65</v>
      </c>
      <c r="B17" s="11" t="s">
        <v>21</v>
      </c>
      <c r="C17" s="11" t="s">
        <v>39</v>
      </c>
      <c r="D17" s="11" t="s">
        <v>72</v>
      </c>
      <c r="E17" s="11" t="s">
        <v>23</v>
      </c>
      <c r="F17" s="11"/>
      <c r="G17" s="11" t="s">
        <v>34</v>
      </c>
      <c r="H17" s="11" t="s">
        <v>25</v>
      </c>
      <c r="I17" s="867">
        <f>28000+36000</f>
        <v>64000</v>
      </c>
      <c r="J17" s="408" t="s">
        <v>26</v>
      </c>
      <c r="K17" s="870" t="s">
        <v>27</v>
      </c>
      <c r="L17" s="11"/>
      <c r="M17" s="871"/>
      <c r="N17" s="11"/>
    </row>
    <row r="18" spans="1:14" s="4" customFormat="1" ht="60.75" customHeight="1" x14ac:dyDescent="0.3">
      <c r="A18" s="872" t="s">
        <v>66</v>
      </c>
      <c r="B18" s="11" t="s">
        <v>21</v>
      </c>
      <c r="C18" s="11" t="s">
        <v>56</v>
      </c>
      <c r="D18" s="11" t="s">
        <v>71</v>
      </c>
      <c r="E18" s="11" t="s">
        <v>23</v>
      </c>
      <c r="F18" s="11"/>
      <c r="G18" s="11" t="s">
        <v>34</v>
      </c>
      <c r="H18" s="11" t="s">
        <v>25</v>
      </c>
      <c r="I18" s="867">
        <v>120000</v>
      </c>
      <c r="J18" s="408" t="s">
        <v>26</v>
      </c>
      <c r="K18" s="870" t="s">
        <v>27</v>
      </c>
      <c r="L18" s="11"/>
      <c r="M18" s="871"/>
      <c r="N18" s="11"/>
    </row>
    <row r="19" spans="1:14" s="4" customFormat="1" ht="75" customHeight="1" x14ac:dyDescent="0.3">
      <c r="A19" s="872" t="s">
        <v>67</v>
      </c>
      <c r="B19" s="11" t="s">
        <v>21</v>
      </c>
      <c r="C19" s="11" t="s">
        <v>74</v>
      </c>
      <c r="D19" s="11" t="s">
        <v>70</v>
      </c>
      <c r="E19" s="11" t="s">
        <v>23</v>
      </c>
      <c r="F19" s="11"/>
      <c r="G19" s="11" t="s">
        <v>24</v>
      </c>
      <c r="H19" s="11" t="s">
        <v>25</v>
      </c>
      <c r="I19" s="867">
        <v>100000</v>
      </c>
      <c r="J19" s="408" t="s">
        <v>26</v>
      </c>
      <c r="K19" s="870" t="s">
        <v>27</v>
      </c>
      <c r="L19" s="11"/>
      <c r="M19" s="871"/>
      <c r="N19" s="11"/>
    </row>
    <row r="20" spans="1:14" s="4" customFormat="1" ht="51" x14ac:dyDescent="0.3">
      <c r="A20" s="872" t="s">
        <v>68</v>
      </c>
      <c r="B20" s="11" t="s">
        <v>21</v>
      </c>
      <c r="C20" s="11" t="s">
        <v>41</v>
      </c>
      <c r="D20" s="11" t="s">
        <v>69</v>
      </c>
      <c r="E20" s="11" t="s">
        <v>23</v>
      </c>
      <c r="F20" s="11"/>
      <c r="G20" s="11" t="s">
        <v>34</v>
      </c>
      <c r="H20" s="11" t="s">
        <v>25</v>
      </c>
      <c r="I20" s="867">
        <v>72000</v>
      </c>
      <c r="J20" s="408" t="s">
        <v>26</v>
      </c>
      <c r="K20" s="870" t="s">
        <v>27</v>
      </c>
      <c r="L20" s="11"/>
      <c r="M20" s="871"/>
      <c r="N20" s="11"/>
    </row>
    <row r="21" spans="1:14" s="4" customFormat="1" ht="20.25" customHeight="1" x14ac:dyDescent="0.3">
      <c r="A21" s="864" t="s">
        <v>43</v>
      </c>
      <c r="B21" s="864"/>
      <c r="C21" s="864"/>
      <c r="D21" s="864"/>
      <c r="E21" s="864"/>
      <c r="F21" s="864"/>
      <c r="G21" s="864"/>
      <c r="H21" s="864"/>
      <c r="I21" s="865">
        <f>SUM(I22:I23)</f>
        <v>201000</v>
      </c>
      <c r="J21" s="866"/>
      <c r="K21" s="866"/>
      <c r="L21" s="866"/>
      <c r="M21" s="866"/>
      <c r="N21" s="864"/>
    </row>
    <row r="22" spans="1:14" s="4" customFormat="1" ht="51" x14ac:dyDescent="0.3">
      <c r="A22" s="873" t="s">
        <v>75</v>
      </c>
      <c r="B22" s="11" t="s">
        <v>21</v>
      </c>
      <c r="C22" s="11" t="s">
        <v>76</v>
      </c>
      <c r="D22" s="11" t="s">
        <v>77</v>
      </c>
      <c r="E22" s="11" t="s">
        <v>23</v>
      </c>
      <c r="F22" s="11"/>
      <c r="G22" s="11" t="s">
        <v>34</v>
      </c>
      <c r="H22" s="11" t="s">
        <v>25</v>
      </c>
      <c r="I22" s="867">
        <v>101000</v>
      </c>
      <c r="J22" s="408" t="s">
        <v>26</v>
      </c>
      <c r="K22" s="870" t="s">
        <v>27</v>
      </c>
      <c r="L22" s="11"/>
      <c r="M22" s="871"/>
      <c r="N22" s="11"/>
    </row>
    <row r="23" spans="1:14" s="4" customFormat="1" ht="54" customHeight="1" x14ac:dyDescent="0.3">
      <c r="A23" s="874"/>
      <c r="B23" s="11" t="s">
        <v>21</v>
      </c>
      <c r="C23" s="11" t="s">
        <v>78</v>
      </c>
      <c r="D23" s="11" t="s">
        <v>79</v>
      </c>
      <c r="E23" s="11" t="s">
        <v>23</v>
      </c>
      <c r="F23" s="11"/>
      <c r="G23" s="11" t="s">
        <v>34</v>
      </c>
      <c r="H23" s="11" t="s">
        <v>25</v>
      </c>
      <c r="I23" s="867">
        <v>100000</v>
      </c>
      <c r="J23" s="408" t="s">
        <v>26</v>
      </c>
      <c r="K23" s="870" t="s">
        <v>27</v>
      </c>
      <c r="L23" s="11"/>
      <c r="M23" s="871"/>
      <c r="N23" s="11"/>
    </row>
    <row r="24" spans="1:14" s="4" customFormat="1" ht="20.25" customHeight="1" x14ac:dyDescent="0.3">
      <c r="A24" s="864" t="s">
        <v>85</v>
      </c>
      <c r="B24" s="864"/>
      <c r="C24" s="864"/>
      <c r="D24" s="864"/>
      <c r="E24" s="864"/>
      <c r="F24" s="864"/>
      <c r="G24" s="864"/>
      <c r="H24" s="864"/>
      <c r="I24" s="865">
        <f>SUM(I25:I29)</f>
        <v>745000</v>
      </c>
      <c r="J24" s="866"/>
      <c r="K24" s="866"/>
      <c r="L24" s="866"/>
      <c r="M24" s="866"/>
      <c r="N24" s="864"/>
    </row>
    <row r="25" spans="1:14" s="4" customFormat="1" ht="74.25" customHeight="1" x14ac:dyDescent="0.3">
      <c r="A25" s="872" t="s">
        <v>80</v>
      </c>
      <c r="B25" s="11" t="s">
        <v>21</v>
      </c>
      <c r="C25" s="11" t="s">
        <v>49</v>
      </c>
      <c r="D25" s="11" t="s">
        <v>94</v>
      </c>
      <c r="E25" s="11" t="s">
        <v>23</v>
      </c>
      <c r="F25" s="11"/>
      <c r="G25" s="11" t="s">
        <v>34</v>
      </c>
      <c r="H25" s="11" t="s">
        <v>25</v>
      </c>
      <c r="I25" s="867">
        <v>141000</v>
      </c>
      <c r="J25" s="408" t="s">
        <v>26</v>
      </c>
      <c r="K25" s="870" t="s">
        <v>27</v>
      </c>
      <c r="L25" s="11"/>
      <c r="M25" s="871"/>
      <c r="N25" s="11"/>
    </row>
    <row r="26" spans="1:14" s="4" customFormat="1" ht="44.25" customHeight="1" x14ac:dyDescent="0.3">
      <c r="A26" s="872" t="s">
        <v>81</v>
      </c>
      <c r="B26" s="11" t="s">
        <v>21</v>
      </c>
      <c r="C26" s="11" t="s">
        <v>90</v>
      </c>
      <c r="D26" s="11" t="s">
        <v>86</v>
      </c>
      <c r="E26" s="11" t="s">
        <v>23</v>
      </c>
      <c r="F26" s="11"/>
      <c r="G26" s="11" t="s">
        <v>34</v>
      </c>
      <c r="H26" s="11" t="s">
        <v>25</v>
      </c>
      <c r="I26" s="867">
        <v>174000</v>
      </c>
      <c r="J26" s="408" t="s">
        <v>26</v>
      </c>
      <c r="K26" s="870" t="s">
        <v>27</v>
      </c>
      <c r="L26" s="11"/>
      <c r="M26" s="871"/>
      <c r="N26" s="11"/>
    </row>
    <row r="27" spans="1:14" s="4" customFormat="1" ht="76.5" x14ac:dyDescent="0.3">
      <c r="A27" s="872" t="s">
        <v>82</v>
      </c>
      <c r="B27" s="11" t="s">
        <v>21</v>
      </c>
      <c r="C27" s="11" t="s">
        <v>91</v>
      </c>
      <c r="D27" s="11" t="s">
        <v>87</v>
      </c>
      <c r="E27" s="11" t="s">
        <v>23</v>
      </c>
      <c r="F27" s="11"/>
      <c r="G27" s="11" t="s">
        <v>34</v>
      </c>
      <c r="H27" s="11" t="s">
        <v>25</v>
      </c>
      <c r="I27" s="867">
        <v>152000</v>
      </c>
      <c r="J27" s="408" t="s">
        <v>26</v>
      </c>
      <c r="K27" s="870" t="s">
        <v>27</v>
      </c>
      <c r="L27" s="11"/>
      <c r="M27" s="871"/>
      <c r="N27" s="11"/>
    </row>
    <row r="28" spans="1:14" s="4" customFormat="1" ht="63.75" x14ac:dyDescent="0.3">
      <c r="A28" s="872" t="s">
        <v>83</v>
      </c>
      <c r="B28" s="11" t="s">
        <v>21</v>
      </c>
      <c r="C28" s="11" t="s">
        <v>92</v>
      </c>
      <c r="D28" s="11" t="s">
        <v>88</v>
      </c>
      <c r="E28" s="11" t="s">
        <v>23</v>
      </c>
      <c r="F28" s="11"/>
      <c r="G28" s="11" t="s">
        <v>34</v>
      </c>
      <c r="H28" s="11" t="s">
        <v>25</v>
      </c>
      <c r="I28" s="867">
        <v>150000</v>
      </c>
      <c r="J28" s="408" t="s">
        <v>38</v>
      </c>
      <c r="K28" s="870" t="s">
        <v>38</v>
      </c>
      <c r="L28" s="11"/>
      <c r="M28" s="871"/>
      <c r="N28" s="11"/>
    </row>
    <row r="29" spans="1:14" s="4" customFormat="1" ht="76.5" x14ac:dyDescent="0.3">
      <c r="A29" s="872" t="s">
        <v>84</v>
      </c>
      <c r="B29" s="11" t="s">
        <v>21</v>
      </c>
      <c r="C29" s="11" t="s">
        <v>93</v>
      </c>
      <c r="D29" s="11" t="s">
        <v>89</v>
      </c>
      <c r="E29" s="11" t="s">
        <v>23</v>
      </c>
      <c r="F29" s="11"/>
      <c r="G29" s="11" t="s">
        <v>34</v>
      </c>
      <c r="H29" s="11" t="s">
        <v>25</v>
      </c>
      <c r="I29" s="867">
        <v>128000</v>
      </c>
      <c r="J29" s="408" t="s">
        <v>26</v>
      </c>
      <c r="K29" s="870" t="s">
        <v>27</v>
      </c>
      <c r="L29" s="11"/>
      <c r="M29" s="871"/>
      <c r="N29" s="11"/>
    </row>
    <row r="30" spans="1:14" s="4" customFormat="1" ht="20.25" customHeight="1" x14ac:dyDescent="0.3">
      <c r="A30" s="864" t="s">
        <v>98</v>
      </c>
      <c r="B30" s="864"/>
      <c r="C30" s="864"/>
      <c r="D30" s="864"/>
      <c r="E30" s="864"/>
      <c r="F30" s="864"/>
      <c r="G30" s="864"/>
      <c r="H30" s="864"/>
      <c r="I30" s="865">
        <f>SUM(I31:I33)</f>
        <v>526000</v>
      </c>
      <c r="J30" s="866"/>
      <c r="K30" s="866"/>
      <c r="L30" s="866"/>
      <c r="M30" s="866"/>
      <c r="N30" s="864"/>
    </row>
    <row r="31" spans="1:14" s="4" customFormat="1" ht="57" customHeight="1" x14ac:dyDescent="0.3">
      <c r="A31" s="872" t="s">
        <v>95</v>
      </c>
      <c r="B31" s="11" t="s">
        <v>21</v>
      </c>
      <c r="C31" s="11" t="s">
        <v>37</v>
      </c>
      <c r="D31" s="11" t="s">
        <v>99</v>
      </c>
      <c r="E31" s="11" t="s">
        <v>23</v>
      </c>
      <c r="F31" s="11"/>
      <c r="G31" s="11" t="s">
        <v>34</v>
      </c>
      <c r="H31" s="11" t="s">
        <v>25</v>
      </c>
      <c r="I31" s="867">
        <v>56000</v>
      </c>
      <c r="J31" s="408" t="s">
        <v>26</v>
      </c>
      <c r="K31" s="870" t="s">
        <v>27</v>
      </c>
      <c r="L31" s="11"/>
      <c r="M31" s="871"/>
      <c r="N31" s="11"/>
    </row>
    <row r="32" spans="1:14" s="4" customFormat="1" ht="63.75" x14ac:dyDescent="0.3">
      <c r="A32" s="872" t="s">
        <v>96</v>
      </c>
      <c r="B32" s="11" t="s">
        <v>21</v>
      </c>
      <c r="C32" s="11" t="s">
        <v>102</v>
      </c>
      <c r="D32" s="11" t="s">
        <v>100</v>
      </c>
      <c r="E32" s="11" t="s">
        <v>23</v>
      </c>
      <c r="F32" s="11"/>
      <c r="G32" s="11" t="s">
        <v>34</v>
      </c>
      <c r="H32" s="11" t="s">
        <v>25</v>
      </c>
      <c r="I32" s="867">
        <v>326000</v>
      </c>
      <c r="J32" s="408" t="s">
        <v>26</v>
      </c>
      <c r="K32" s="870" t="s">
        <v>27</v>
      </c>
      <c r="L32" s="11"/>
      <c r="M32" s="871"/>
      <c r="N32" s="11"/>
    </row>
    <row r="33" spans="1:14" s="4" customFormat="1" ht="63.75" x14ac:dyDescent="0.3">
      <c r="A33" s="872" t="s">
        <v>97</v>
      </c>
      <c r="B33" s="11" t="s">
        <v>21</v>
      </c>
      <c r="C33" s="11" t="s">
        <v>103</v>
      </c>
      <c r="D33" s="11" t="s">
        <v>101</v>
      </c>
      <c r="E33" s="11" t="s">
        <v>23</v>
      </c>
      <c r="F33" s="11"/>
      <c r="G33" s="11" t="s">
        <v>34</v>
      </c>
      <c r="H33" s="11" t="s">
        <v>25</v>
      </c>
      <c r="I33" s="867">
        <v>144000</v>
      </c>
      <c r="J33" s="408" t="s">
        <v>26</v>
      </c>
      <c r="K33" s="870" t="s">
        <v>27</v>
      </c>
      <c r="L33" s="11"/>
      <c r="M33" s="871"/>
      <c r="N33" s="11"/>
    </row>
    <row r="34" spans="1:14" s="4" customFormat="1" ht="20.25" customHeight="1" x14ac:dyDescent="0.3">
      <c r="A34" s="864" t="s">
        <v>172</v>
      </c>
      <c r="B34" s="864"/>
      <c r="C34" s="864"/>
      <c r="D34" s="864"/>
      <c r="E34" s="864"/>
      <c r="F34" s="864"/>
      <c r="G34" s="864"/>
      <c r="H34" s="864"/>
      <c r="I34" s="865">
        <f>SUM(I35:I41)</f>
        <v>5348000</v>
      </c>
      <c r="J34" s="866"/>
      <c r="K34" s="866"/>
      <c r="L34" s="866"/>
      <c r="M34" s="866"/>
      <c r="N34" s="864"/>
    </row>
    <row r="35" spans="1:14" s="4" customFormat="1" ht="86.25" customHeight="1" x14ac:dyDescent="0.3">
      <c r="A35" s="872" t="s">
        <v>104</v>
      </c>
      <c r="B35" s="11" t="s">
        <v>21</v>
      </c>
      <c r="C35" s="11" t="s">
        <v>33</v>
      </c>
      <c r="D35" s="11" t="s">
        <v>110</v>
      </c>
      <c r="E35" s="11" t="s">
        <v>23</v>
      </c>
      <c r="F35" s="11"/>
      <c r="G35" s="11" t="s">
        <v>24</v>
      </c>
      <c r="H35" s="11" t="s">
        <v>25</v>
      </c>
      <c r="I35" s="867">
        <v>5000000</v>
      </c>
      <c r="J35" s="408" t="s">
        <v>26</v>
      </c>
      <c r="K35" s="870" t="s">
        <v>27</v>
      </c>
      <c r="L35" s="11"/>
      <c r="M35" s="871"/>
      <c r="N35" s="11"/>
    </row>
    <row r="36" spans="1:14" s="4" customFormat="1" ht="69.75" customHeight="1" x14ac:dyDescent="0.3">
      <c r="A36" s="872" t="s">
        <v>105</v>
      </c>
      <c r="B36" s="11" t="s">
        <v>21</v>
      </c>
      <c r="C36" s="11" t="s">
        <v>116</v>
      </c>
      <c r="D36" s="11" t="s">
        <v>111</v>
      </c>
      <c r="E36" s="11" t="s">
        <v>23</v>
      </c>
      <c r="F36" s="11"/>
      <c r="G36" s="11" t="s">
        <v>34</v>
      </c>
      <c r="H36" s="11" t="s">
        <v>25</v>
      </c>
      <c r="I36" s="867">
        <v>52500</v>
      </c>
      <c r="J36" s="408" t="s">
        <v>26</v>
      </c>
      <c r="K36" s="870" t="s">
        <v>27</v>
      </c>
      <c r="L36" s="11"/>
      <c r="M36" s="871"/>
      <c r="N36" s="11"/>
    </row>
    <row r="37" spans="1:14" s="4" customFormat="1" ht="90.75" customHeight="1" x14ac:dyDescent="0.3">
      <c r="A37" s="872" t="s">
        <v>106</v>
      </c>
      <c r="B37" s="11" t="s">
        <v>21</v>
      </c>
      <c r="C37" s="11" t="s">
        <v>117</v>
      </c>
      <c r="D37" s="11" t="s">
        <v>112</v>
      </c>
      <c r="E37" s="11" t="s">
        <v>23</v>
      </c>
      <c r="F37" s="11"/>
      <c r="G37" s="11" t="s">
        <v>34</v>
      </c>
      <c r="H37" s="11" t="s">
        <v>25</v>
      </c>
      <c r="I37" s="867">
        <v>10500</v>
      </c>
      <c r="J37" s="408" t="s">
        <v>26</v>
      </c>
      <c r="K37" s="870" t="s">
        <v>27</v>
      </c>
      <c r="L37" s="11"/>
      <c r="M37" s="871"/>
      <c r="N37" s="11"/>
    </row>
    <row r="38" spans="1:14" s="4" customFormat="1" ht="69" customHeight="1" x14ac:dyDescent="0.3">
      <c r="A38" s="873" t="s">
        <v>107</v>
      </c>
      <c r="B38" s="11" t="s">
        <v>21</v>
      </c>
      <c r="C38" s="11" t="s">
        <v>44</v>
      </c>
      <c r="D38" s="445" t="s">
        <v>113</v>
      </c>
      <c r="E38" s="11" t="s">
        <v>23</v>
      </c>
      <c r="F38" s="11"/>
      <c r="G38" s="11" t="s">
        <v>34</v>
      </c>
      <c r="H38" s="11" t="s">
        <v>25</v>
      </c>
      <c r="I38" s="875">
        <v>30000</v>
      </c>
      <c r="J38" s="408" t="s">
        <v>35</v>
      </c>
      <c r="K38" s="870" t="s">
        <v>35</v>
      </c>
      <c r="L38" s="11"/>
      <c r="M38" s="871"/>
      <c r="N38" s="11"/>
    </row>
    <row r="39" spans="1:14" s="4" customFormat="1" ht="39" customHeight="1" x14ac:dyDescent="0.3">
      <c r="A39" s="874"/>
      <c r="B39" s="11" t="s">
        <v>21</v>
      </c>
      <c r="C39" s="11" t="s">
        <v>130</v>
      </c>
      <c r="D39" s="451"/>
      <c r="E39" s="11" t="s">
        <v>23</v>
      </c>
      <c r="F39" s="11"/>
      <c r="G39" s="11" t="s">
        <v>24</v>
      </c>
      <c r="H39" s="11" t="s">
        <v>25</v>
      </c>
      <c r="I39" s="867">
        <v>100000</v>
      </c>
      <c r="J39" s="408" t="s">
        <v>26</v>
      </c>
      <c r="K39" s="870" t="s">
        <v>27</v>
      </c>
      <c r="L39" s="11"/>
      <c r="M39" s="871"/>
      <c r="N39" s="11"/>
    </row>
    <row r="40" spans="1:14" s="4" customFormat="1" ht="76.5" x14ac:dyDescent="0.3">
      <c r="A40" s="872" t="s">
        <v>108</v>
      </c>
      <c r="B40" s="11" t="s">
        <v>21</v>
      </c>
      <c r="C40" s="11" t="s">
        <v>118</v>
      </c>
      <c r="D40" s="11" t="s">
        <v>114</v>
      </c>
      <c r="E40" s="11" t="s">
        <v>23</v>
      </c>
      <c r="F40" s="11"/>
      <c r="G40" s="11" t="s">
        <v>34</v>
      </c>
      <c r="H40" s="11" t="s">
        <v>25</v>
      </c>
      <c r="I40" s="867">
        <v>135000</v>
      </c>
      <c r="J40" s="408" t="s">
        <v>26</v>
      </c>
      <c r="K40" s="870" t="s">
        <v>27</v>
      </c>
      <c r="L40" s="11"/>
      <c r="M40" s="871"/>
      <c r="N40" s="11"/>
    </row>
    <row r="41" spans="1:14" s="4" customFormat="1" ht="63.75" x14ac:dyDescent="0.3">
      <c r="A41" s="872" t="s">
        <v>109</v>
      </c>
      <c r="B41" s="11" t="s">
        <v>21</v>
      </c>
      <c r="C41" s="11" t="s">
        <v>119</v>
      </c>
      <c r="D41" s="11" t="s">
        <v>115</v>
      </c>
      <c r="E41" s="11" t="s">
        <v>23</v>
      </c>
      <c r="F41" s="11"/>
      <c r="G41" s="11" t="s">
        <v>34</v>
      </c>
      <c r="H41" s="11" t="s">
        <v>25</v>
      </c>
      <c r="I41" s="867">
        <v>20000</v>
      </c>
      <c r="J41" s="408" t="s">
        <v>26</v>
      </c>
      <c r="K41" s="870" t="s">
        <v>27</v>
      </c>
      <c r="L41" s="11"/>
      <c r="M41" s="871"/>
      <c r="N41" s="11"/>
    </row>
    <row r="42" spans="1:14" s="3" customFormat="1" ht="16.5" x14ac:dyDescent="0.3">
      <c r="A42" s="864" t="s">
        <v>120</v>
      </c>
      <c r="B42" s="864"/>
      <c r="C42" s="864"/>
      <c r="D42" s="864"/>
      <c r="E42" s="864"/>
      <c r="F42" s="864"/>
      <c r="G42" s="864"/>
      <c r="H42" s="864"/>
      <c r="I42" s="865">
        <f>SUM(I43:I47)</f>
        <v>10275000</v>
      </c>
      <c r="J42" s="866"/>
      <c r="K42" s="866"/>
      <c r="L42" s="866"/>
      <c r="M42" s="866"/>
      <c r="N42" s="864"/>
    </row>
    <row r="43" spans="1:14" s="4" customFormat="1" ht="72.75" customHeight="1" x14ac:dyDescent="0.3">
      <c r="A43" s="872" t="s">
        <v>121</v>
      </c>
      <c r="B43" s="11" t="s">
        <v>21</v>
      </c>
      <c r="C43" s="11" t="s">
        <v>47</v>
      </c>
      <c r="D43" s="11" t="s">
        <v>125</v>
      </c>
      <c r="E43" s="11" t="s">
        <v>23</v>
      </c>
      <c r="F43" s="11"/>
      <c r="G43" s="11" t="s">
        <v>34</v>
      </c>
      <c r="H43" s="11" t="s">
        <v>25</v>
      </c>
      <c r="I43" s="867">
        <f>135000</f>
        <v>135000</v>
      </c>
      <c r="J43" s="408" t="s">
        <v>26</v>
      </c>
      <c r="K43" s="870" t="s">
        <v>27</v>
      </c>
      <c r="L43" s="11"/>
      <c r="M43" s="871"/>
      <c r="N43" s="11"/>
    </row>
    <row r="44" spans="1:14" s="4" customFormat="1" ht="67.5" customHeight="1" x14ac:dyDescent="0.3">
      <c r="A44" s="872" t="s">
        <v>122</v>
      </c>
      <c r="B44" s="11" t="s">
        <v>21</v>
      </c>
      <c r="C44" s="11" t="s">
        <v>131</v>
      </c>
      <c r="D44" s="11" t="s">
        <v>126</v>
      </c>
      <c r="E44" s="11" t="s">
        <v>23</v>
      </c>
      <c r="F44" s="11"/>
      <c r="G44" s="11" t="s">
        <v>34</v>
      </c>
      <c r="H44" s="11" t="s">
        <v>25</v>
      </c>
      <c r="I44" s="867">
        <v>20000</v>
      </c>
      <c r="J44" s="408" t="s">
        <v>26</v>
      </c>
      <c r="K44" s="870" t="s">
        <v>27</v>
      </c>
      <c r="L44" s="11"/>
      <c r="M44" s="871"/>
      <c r="N44" s="11"/>
    </row>
    <row r="45" spans="1:14" s="4" customFormat="1" ht="154.5" customHeight="1" x14ac:dyDescent="0.3">
      <c r="A45" s="872" t="s">
        <v>123</v>
      </c>
      <c r="B45" s="11" t="s">
        <v>21</v>
      </c>
      <c r="C45" s="11" t="s">
        <v>32</v>
      </c>
      <c r="D45" s="11" t="s">
        <v>127</v>
      </c>
      <c r="E45" s="11" t="s">
        <v>23</v>
      </c>
      <c r="F45" s="11"/>
      <c r="G45" s="11" t="s">
        <v>34</v>
      </c>
      <c r="H45" s="11" t="s">
        <v>25</v>
      </c>
      <c r="I45" s="867">
        <v>10000000</v>
      </c>
      <c r="J45" s="408" t="s">
        <v>26</v>
      </c>
      <c r="K45" s="870" t="s">
        <v>27</v>
      </c>
      <c r="L45" s="11"/>
      <c r="M45" s="871"/>
      <c r="N45" s="11"/>
    </row>
    <row r="46" spans="1:14" s="4" customFormat="1" ht="82.5" customHeight="1" x14ac:dyDescent="0.3">
      <c r="A46" s="873" t="s">
        <v>124</v>
      </c>
      <c r="B46" s="296" t="s">
        <v>21</v>
      </c>
      <c r="C46" s="11" t="s">
        <v>36</v>
      </c>
      <c r="D46" s="11" t="s">
        <v>128</v>
      </c>
      <c r="E46" s="11" t="s">
        <v>23</v>
      </c>
      <c r="F46" s="11"/>
      <c r="G46" s="11" t="s">
        <v>24</v>
      </c>
      <c r="H46" s="11" t="s">
        <v>25</v>
      </c>
      <c r="I46" s="867">
        <v>100000</v>
      </c>
      <c r="J46" s="408" t="s">
        <v>26</v>
      </c>
      <c r="K46" s="870" t="s">
        <v>27</v>
      </c>
      <c r="L46" s="11"/>
      <c r="M46" s="871"/>
      <c r="N46" s="11"/>
    </row>
    <row r="47" spans="1:14" s="4" customFormat="1" ht="43.5" customHeight="1" x14ac:dyDescent="0.3">
      <c r="A47" s="874"/>
      <c r="B47" s="299"/>
      <c r="C47" s="11" t="s">
        <v>129</v>
      </c>
      <c r="D47" s="11"/>
      <c r="E47" s="11" t="s">
        <v>23</v>
      </c>
      <c r="F47" s="11"/>
      <c r="G47" s="11" t="s">
        <v>34</v>
      </c>
      <c r="H47" s="11" t="s">
        <v>25</v>
      </c>
      <c r="I47" s="867">
        <v>20000</v>
      </c>
      <c r="J47" s="408" t="s">
        <v>26</v>
      </c>
      <c r="K47" s="870" t="s">
        <v>27</v>
      </c>
      <c r="L47" s="11"/>
      <c r="M47" s="871"/>
      <c r="N47" s="11"/>
    </row>
    <row r="48" spans="1:14" s="3" customFormat="1" ht="16.5" x14ac:dyDescent="0.3">
      <c r="A48" s="864" t="s">
        <v>132</v>
      </c>
      <c r="B48" s="864"/>
      <c r="C48" s="864"/>
      <c r="D48" s="864"/>
      <c r="E48" s="864"/>
      <c r="F48" s="864"/>
      <c r="G48" s="864"/>
      <c r="H48" s="864"/>
      <c r="I48" s="865">
        <f>SUM(I49,I50)</f>
        <v>201000</v>
      </c>
      <c r="J48" s="866"/>
      <c r="K48" s="866"/>
      <c r="L48" s="866"/>
      <c r="M48" s="866"/>
      <c r="N48" s="864"/>
    </row>
    <row r="49" spans="1:14" s="4" customFormat="1" ht="71.25" customHeight="1" x14ac:dyDescent="0.3">
      <c r="A49" s="872" t="s">
        <v>133</v>
      </c>
      <c r="B49" s="11" t="s">
        <v>21</v>
      </c>
      <c r="C49" s="11" t="s">
        <v>138</v>
      </c>
      <c r="D49" s="11" t="s">
        <v>135</v>
      </c>
      <c r="E49" s="11" t="s">
        <v>23</v>
      </c>
      <c r="F49" s="11"/>
      <c r="G49" s="11" t="s">
        <v>34</v>
      </c>
      <c r="H49" s="11" t="s">
        <v>25</v>
      </c>
      <c r="I49" s="867">
        <v>81000</v>
      </c>
      <c r="J49" s="408" t="s">
        <v>26</v>
      </c>
      <c r="K49" s="870" t="s">
        <v>27</v>
      </c>
      <c r="L49" s="11"/>
      <c r="M49" s="871"/>
      <c r="N49" s="11"/>
    </row>
    <row r="50" spans="1:14" s="4" customFormat="1" ht="63.75" x14ac:dyDescent="0.3">
      <c r="A50" s="872" t="s">
        <v>134</v>
      </c>
      <c r="B50" s="11" t="s">
        <v>21</v>
      </c>
      <c r="C50" s="11" t="s">
        <v>137</v>
      </c>
      <c r="D50" s="11" t="s">
        <v>136</v>
      </c>
      <c r="E50" s="11" t="s">
        <v>23</v>
      </c>
      <c r="F50" s="11"/>
      <c r="G50" s="11" t="s">
        <v>34</v>
      </c>
      <c r="H50" s="11" t="s">
        <v>25</v>
      </c>
      <c r="I50" s="867">
        <v>120000</v>
      </c>
      <c r="J50" s="408" t="s">
        <v>38</v>
      </c>
      <c r="K50" s="870" t="s">
        <v>38</v>
      </c>
      <c r="L50" s="11"/>
      <c r="M50" s="871"/>
      <c r="N50" s="11"/>
    </row>
    <row r="51" spans="1:14" s="3" customFormat="1" ht="16.5" x14ac:dyDescent="0.3">
      <c r="A51" s="864" t="s">
        <v>139</v>
      </c>
      <c r="B51" s="864"/>
      <c r="C51" s="864"/>
      <c r="D51" s="864"/>
      <c r="E51" s="864"/>
      <c r="F51" s="864"/>
      <c r="G51" s="864"/>
      <c r="H51" s="864"/>
      <c r="I51" s="865">
        <f>SUM(I52:I53)</f>
        <v>181000</v>
      </c>
      <c r="J51" s="866"/>
      <c r="K51" s="866"/>
      <c r="L51" s="866"/>
      <c r="M51" s="866"/>
      <c r="N51" s="864"/>
    </row>
    <row r="52" spans="1:14" s="4" customFormat="1" ht="72" customHeight="1" x14ac:dyDescent="0.3">
      <c r="A52" s="872" t="s">
        <v>140</v>
      </c>
      <c r="B52" s="11" t="s">
        <v>21</v>
      </c>
      <c r="C52" s="11" t="s">
        <v>143</v>
      </c>
      <c r="D52" s="11" t="s">
        <v>144</v>
      </c>
      <c r="E52" s="11" t="s">
        <v>23</v>
      </c>
      <c r="F52" s="11"/>
      <c r="G52" s="11" t="s">
        <v>34</v>
      </c>
      <c r="H52" s="11" t="s">
        <v>25</v>
      </c>
      <c r="I52" s="867">
        <v>100000</v>
      </c>
      <c r="J52" s="408" t="s">
        <v>26</v>
      </c>
      <c r="K52" s="870" t="s">
        <v>27</v>
      </c>
      <c r="L52" s="11"/>
      <c r="M52" s="871"/>
      <c r="N52" s="11"/>
    </row>
    <row r="53" spans="1:14" s="4" customFormat="1" ht="114.75" x14ac:dyDescent="0.3">
      <c r="A53" s="872" t="s">
        <v>141</v>
      </c>
      <c r="B53" s="11" t="s">
        <v>21</v>
      </c>
      <c r="C53" s="11" t="s">
        <v>142</v>
      </c>
      <c r="D53" s="11" t="s">
        <v>145</v>
      </c>
      <c r="E53" s="11" t="s">
        <v>23</v>
      </c>
      <c r="F53" s="11"/>
      <c r="G53" s="11" t="s">
        <v>34</v>
      </c>
      <c r="H53" s="11" t="s">
        <v>25</v>
      </c>
      <c r="I53" s="867">
        <v>81000</v>
      </c>
      <c r="J53" s="408" t="s">
        <v>26</v>
      </c>
      <c r="K53" s="870" t="s">
        <v>27</v>
      </c>
      <c r="L53" s="11"/>
      <c r="M53" s="871"/>
      <c r="N53" s="11"/>
    </row>
    <row r="54" spans="1:14" s="3" customFormat="1" ht="16.5" x14ac:dyDescent="0.3">
      <c r="A54" s="864" t="s">
        <v>146</v>
      </c>
      <c r="B54" s="864"/>
      <c r="C54" s="864"/>
      <c r="D54" s="864"/>
      <c r="E54" s="864"/>
      <c r="F54" s="864"/>
      <c r="G54" s="864"/>
      <c r="H54" s="864"/>
      <c r="I54" s="865">
        <f>SUM(I55:I56)</f>
        <v>195000</v>
      </c>
      <c r="J54" s="866"/>
      <c r="K54" s="866"/>
      <c r="L54" s="866"/>
      <c r="M54" s="866"/>
      <c r="N54" s="864"/>
    </row>
    <row r="55" spans="1:14" s="4" customFormat="1" ht="51" x14ac:dyDescent="0.3">
      <c r="A55" s="876" t="s">
        <v>149</v>
      </c>
      <c r="B55" s="106" t="s">
        <v>21</v>
      </c>
      <c r="C55" s="877" t="s">
        <v>147</v>
      </c>
      <c r="D55" s="11" t="s">
        <v>151</v>
      </c>
      <c r="E55" s="11" t="s">
        <v>23</v>
      </c>
      <c r="F55" s="11"/>
      <c r="G55" s="11" t="s">
        <v>34</v>
      </c>
      <c r="H55" s="11" t="s">
        <v>25</v>
      </c>
      <c r="I55" s="867">
        <v>45000</v>
      </c>
      <c r="J55" s="408" t="s">
        <v>26</v>
      </c>
      <c r="K55" s="870" t="s">
        <v>27</v>
      </c>
      <c r="L55" s="11"/>
      <c r="M55" s="871"/>
      <c r="N55" s="11"/>
    </row>
    <row r="56" spans="1:14" s="4" customFormat="1" ht="53.25" customHeight="1" x14ac:dyDescent="0.3">
      <c r="A56" s="878"/>
      <c r="B56" s="106"/>
      <c r="C56" s="877" t="s">
        <v>148</v>
      </c>
      <c r="D56" s="11" t="s">
        <v>150</v>
      </c>
      <c r="E56" s="11" t="s">
        <v>23</v>
      </c>
      <c r="F56" s="11"/>
      <c r="G56" s="11" t="s">
        <v>34</v>
      </c>
      <c r="H56" s="11" t="s">
        <v>25</v>
      </c>
      <c r="I56" s="867">
        <v>150000</v>
      </c>
      <c r="J56" s="408" t="s">
        <v>26</v>
      </c>
      <c r="K56" s="870" t="s">
        <v>27</v>
      </c>
      <c r="L56" s="11"/>
      <c r="M56" s="871"/>
      <c r="N56" s="11"/>
    </row>
    <row r="57" spans="1:14" s="3" customFormat="1" ht="16.5" x14ac:dyDescent="0.3">
      <c r="A57" s="864" t="s">
        <v>53</v>
      </c>
      <c r="B57" s="864"/>
      <c r="C57" s="864"/>
      <c r="D57" s="864"/>
      <c r="E57" s="864"/>
      <c r="F57" s="864"/>
      <c r="G57" s="864"/>
      <c r="H57" s="864"/>
      <c r="I57" s="865">
        <f>I58</f>
        <v>63000</v>
      </c>
      <c r="J57" s="866"/>
      <c r="K57" s="866"/>
      <c r="L57" s="866"/>
      <c r="M57" s="866"/>
      <c r="N57" s="864"/>
    </row>
    <row r="58" spans="1:14" s="4" customFormat="1" ht="61.5" customHeight="1" x14ac:dyDescent="0.3">
      <c r="A58" s="872" t="s">
        <v>152</v>
      </c>
      <c r="B58" s="11" t="s">
        <v>21</v>
      </c>
      <c r="C58" s="11" t="s">
        <v>154</v>
      </c>
      <c r="D58" s="11" t="s">
        <v>153</v>
      </c>
      <c r="E58" s="11" t="s">
        <v>23</v>
      </c>
      <c r="F58" s="11"/>
      <c r="G58" s="11" t="s">
        <v>34</v>
      </c>
      <c r="H58" s="11" t="s">
        <v>25</v>
      </c>
      <c r="I58" s="867">
        <v>63000</v>
      </c>
      <c r="J58" s="408" t="s">
        <v>26</v>
      </c>
      <c r="K58" s="870" t="s">
        <v>27</v>
      </c>
      <c r="L58" s="11"/>
      <c r="M58" s="871"/>
      <c r="N58" s="11"/>
    </row>
    <row r="59" spans="1:14" s="3" customFormat="1" ht="16.5" x14ac:dyDescent="0.3">
      <c r="A59" s="864" t="s">
        <v>155</v>
      </c>
      <c r="B59" s="864"/>
      <c r="C59" s="864"/>
      <c r="D59" s="864"/>
      <c r="E59" s="864"/>
      <c r="F59" s="864"/>
      <c r="G59" s="864"/>
      <c r="H59" s="864"/>
      <c r="I59" s="865">
        <f>SUM(I60:I61)</f>
        <v>5654000</v>
      </c>
      <c r="J59" s="866"/>
      <c r="K59" s="866"/>
      <c r="L59" s="866"/>
      <c r="M59" s="866"/>
      <c r="N59" s="864"/>
    </row>
    <row r="60" spans="1:14" s="4" customFormat="1" ht="86.25" customHeight="1" x14ac:dyDescent="0.3">
      <c r="A60" s="873" t="s">
        <v>158</v>
      </c>
      <c r="B60" s="11" t="s">
        <v>21</v>
      </c>
      <c r="C60" s="11" t="s">
        <v>156</v>
      </c>
      <c r="D60" s="11" t="s">
        <v>159</v>
      </c>
      <c r="E60" s="11" t="s">
        <v>23</v>
      </c>
      <c r="F60" s="11"/>
      <c r="G60" s="11" t="s">
        <v>34</v>
      </c>
      <c r="H60" s="11" t="s">
        <v>25</v>
      </c>
      <c r="I60" s="867">
        <v>5500000</v>
      </c>
      <c r="J60" s="408" t="s">
        <v>26</v>
      </c>
      <c r="K60" s="870" t="s">
        <v>27</v>
      </c>
      <c r="L60" s="11"/>
      <c r="M60" s="871"/>
      <c r="N60" s="11"/>
    </row>
    <row r="61" spans="1:14" s="4" customFormat="1" ht="56.25" customHeight="1" x14ac:dyDescent="0.3">
      <c r="A61" s="874"/>
      <c r="B61" s="11" t="s">
        <v>21</v>
      </c>
      <c r="C61" s="11" t="s">
        <v>157</v>
      </c>
      <c r="D61" s="11" t="s">
        <v>160</v>
      </c>
      <c r="E61" s="11" t="s">
        <v>23</v>
      </c>
      <c r="F61" s="11"/>
      <c r="G61" s="11" t="s">
        <v>34</v>
      </c>
      <c r="H61" s="11" t="s">
        <v>25</v>
      </c>
      <c r="I61" s="867">
        <f>28000+77000+49000</f>
        <v>154000</v>
      </c>
      <c r="J61" s="408" t="s">
        <v>26</v>
      </c>
      <c r="K61" s="870" t="s">
        <v>27</v>
      </c>
      <c r="L61" s="11"/>
      <c r="M61" s="871"/>
      <c r="N61" s="11"/>
    </row>
    <row r="62" spans="1:14" s="3" customFormat="1" ht="16.5" x14ac:dyDescent="0.3">
      <c r="A62" s="864" t="s">
        <v>50</v>
      </c>
      <c r="B62" s="864"/>
      <c r="C62" s="864"/>
      <c r="D62" s="864"/>
      <c r="E62" s="864"/>
      <c r="F62" s="864"/>
      <c r="G62" s="864"/>
      <c r="H62" s="864"/>
      <c r="I62" s="865">
        <f>I63</f>
        <v>100000</v>
      </c>
      <c r="J62" s="866"/>
      <c r="K62" s="866"/>
      <c r="L62" s="866"/>
      <c r="M62" s="866"/>
      <c r="N62" s="864"/>
    </row>
    <row r="63" spans="1:14" s="4" customFormat="1" ht="63.75" x14ac:dyDescent="0.3">
      <c r="A63" s="872" t="s">
        <v>51</v>
      </c>
      <c r="B63" s="11" t="s">
        <v>21</v>
      </c>
      <c r="C63" s="11" t="s">
        <v>52</v>
      </c>
      <c r="D63" s="11" t="s">
        <v>161</v>
      </c>
      <c r="E63" s="11" t="s">
        <v>23</v>
      </c>
      <c r="F63" s="11"/>
      <c r="G63" s="11" t="s">
        <v>34</v>
      </c>
      <c r="H63" s="11" t="s">
        <v>25</v>
      </c>
      <c r="I63" s="867">
        <v>100000</v>
      </c>
      <c r="J63" s="408" t="s">
        <v>26</v>
      </c>
      <c r="K63" s="870" t="s">
        <v>27</v>
      </c>
      <c r="L63" s="11"/>
      <c r="M63" s="871"/>
      <c r="N63" s="11"/>
    </row>
    <row r="64" spans="1:14" s="3" customFormat="1" ht="16.5" x14ac:dyDescent="0.3">
      <c r="A64" s="864" t="s">
        <v>162</v>
      </c>
      <c r="B64" s="864"/>
      <c r="C64" s="864"/>
      <c r="D64" s="864"/>
      <c r="E64" s="864"/>
      <c r="F64" s="864"/>
      <c r="G64" s="864"/>
      <c r="H64" s="864"/>
      <c r="I64" s="865">
        <f>SUM(I65:I66)</f>
        <v>495000</v>
      </c>
      <c r="J64" s="866"/>
      <c r="K64" s="866"/>
      <c r="L64" s="866"/>
      <c r="M64" s="866"/>
      <c r="N64" s="864"/>
    </row>
    <row r="65" spans="1:14" s="4" customFormat="1" ht="57" customHeight="1" x14ac:dyDescent="0.3">
      <c r="A65" s="872" t="s">
        <v>163</v>
      </c>
      <c r="B65" s="11" t="s">
        <v>21</v>
      </c>
      <c r="C65" s="11" t="s">
        <v>40</v>
      </c>
      <c r="D65" s="11" t="s">
        <v>165</v>
      </c>
      <c r="E65" s="11" t="s">
        <v>23</v>
      </c>
      <c r="F65" s="11"/>
      <c r="G65" s="11" t="s">
        <v>34</v>
      </c>
      <c r="H65" s="11" t="s">
        <v>25</v>
      </c>
      <c r="I65" s="867">
        <v>162000</v>
      </c>
      <c r="J65" s="408" t="s">
        <v>26</v>
      </c>
      <c r="K65" s="870" t="s">
        <v>27</v>
      </c>
      <c r="L65" s="11"/>
      <c r="M65" s="871"/>
      <c r="N65" s="11"/>
    </row>
    <row r="66" spans="1:14" s="4" customFormat="1" ht="51" x14ac:dyDescent="0.3">
      <c r="A66" s="872" t="s">
        <v>164</v>
      </c>
      <c r="B66" s="11" t="s">
        <v>21</v>
      </c>
      <c r="C66" s="11" t="s">
        <v>55</v>
      </c>
      <c r="D66" s="11" t="s">
        <v>166</v>
      </c>
      <c r="E66" s="11" t="s">
        <v>23</v>
      </c>
      <c r="F66" s="11"/>
      <c r="G66" s="11" t="s">
        <v>34</v>
      </c>
      <c r="H66" s="11" t="s">
        <v>25</v>
      </c>
      <c r="I66" s="867">
        <v>333000</v>
      </c>
      <c r="J66" s="408" t="s">
        <v>26</v>
      </c>
      <c r="K66" s="870" t="s">
        <v>27</v>
      </c>
      <c r="L66" s="11"/>
      <c r="M66" s="871"/>
      <c r="N66" s="11"/>
    </row>
    <row r="67" spans="1:14" s="3" customFormat="1" ht="16.5" x14ac:dyDescent="0.3">
      <c r="A67" s="864" t="s">
        <v>167</v>
      </c>
      <c r="B67" s="864"/>
      <c r="C67" s="864"/>
      <c r="D67" s="864"/>
      <c r="E67" s="864"/>
      <c r="F67" s="864"/>
      <c r="G67" s="864"/>
      <c r="H67" s="864"/>
      <c r="I67" s="865">
        <f>SUM(I68:I69)</f>
        <v>192000</v>
      </c>
      <c r="J67" s="866"/>
      <c r="K67" s="866"/>
      <c r="L67" s="866"/>
      <c r="M67" s="866"/>
      <c r="N67" s="864"/>
    </row>
    <row r="68" spans="1:14" s="4" customFormat="1" ht="127.5" customHeight="1" x14ac:dyDescent="0.3">
      <c r="A68" s="872" t="s">
        <v>168</v>
      </c>
      <c r="B68" s="11" t="s">
        <v>21</v>
      </c>
      <c r="C68" s="11" t="s">
        <v>48</v>
      </c>
      <c r="D68" s="11" t="s">
        <v>170</v>
      </c>
      <c r="E68" s="11" t="s">
        <v>23</v>
      </c>
      <c r="F68" s="11"/>
      <c r="G68" s="11" t="s">
        <v>34</v>
      </c>
      <c r="H68" s="11" t="s">
        <v>25</v>
      </c>
      <c r="I68" s="867">
        <v>120000</v>
      </c>
      <c r="J68" s="408" t="s">
        <v>26</v>
      </c>
      <c r="K68" s="870" t="s">
        <v>27</v>
      </c>
      <c r="L68" s="11"/>
      <c r="M68" s="871"/>
      <c r="N68" s="11"/>
    </row>
    <row r="69" spans="1:14" s="4" customFormat="1" ht="58.5" customHeight="1" x14ac:dyDescent="0.3">
      <c r="A69" s="872" t="s">
        <v>169</v>
      </c>
      <c r="B69" s="11" t="s">
        <v>21</v>
      </c>
      <c r="C69" s="11" t="s">
        <v>46</v>
      </c>
      <c r="D69" s="11" t="s">
        <v>171</v>
      </c>
      <c r="E69" s="11" t="s">
        <v>23</v>
      </c>
      <c r="F69" s="11"/>
      <c r="G69" s="11" t="s">
        <v>34</v>
      </c>
      <c r="H69" s="11" t="s">
        <v>25</v>
      </c>
      <c r="I69" s="867">
        <v>72000</v>
      </c>
      <c r="J69" s="408" t="s">
        <v>26</v>
      </c>
      <c r="K69" s="870" t="s">
        <v>27</v>
      </c>
      <c r="L69" s="11"/>
      <c r="M69" s="871"/>
      <c r="N69" s="11"/>
    </row>
    <row r="70" spans="1:14" x14ac:dyDescent="0.25">
      <c r="A70" s="879"/>
      <c r="B70" s="879"/>
      <c r="C70" s="879"/>
      <c r="D70" s="879"/>
      <c r="E70" s="879"/>
      <c r="F70" s="879"/>
      <c r="G70" s="879"/>
      <c r="H70" s="879"/>
      <c r="I70" s="880">
        <f>SUM(I10,I13,I21,I24,I34,I42,I48,I51,I54,I57,I59,I62,I64,I67)</f>
        <v>78212000</v>
      </c>
      <c r="J70" s="879"/>
      <c r="K70" s="879"/>
      <c r="L70" s="879"/>
      <c r="M70" s="879"/>
      <c r="N70" s="879"/>
    </row>
    <row r="71" spans="1:14" s="1" customFormat="1" ht="40.5" customHeight="1" x14ac:dyDescent="0.25">
      <c r="A71" s="17" t="s">
        <v>193</v>
      </c>
      <c r="B71" s="862"/>
      <c r="C71" s="862"/>
      <c r="D71" s="862"/>
      <c r="E71" s="862"/>
      <c r="F71" s="862"/>
      <c r="G71" s="862"/>
      <c r="H71" s="862"/>
      <c r="I71" s="862"/>
      <c r="J71" s="862"/>
      <c r="K71" s="862"/>
      <c r="L71" s="862"/>
      <c r="M71" s="862"/>
      <c r="N71" s="863"/>
    </row>
    <row r="72" spans="1:14" s="6" customFormat="1" ht="16.5" x14ac:dyDescent="0.3">
      <c r="A72" s="103" t="s">
        <v>173</v>
      </c>
      <c r="B72" s="12" t="s">
        <v>174</v>
      </c>
      <c r="C72" s="12" t="s">
        <v>175</v>
      </c>
      <c r="D72" s="12" t="s">
        <v>176</v>
      </c>
      <c r="E72" s="881"/>
      <c r="F72" s="881"/>
      <c r="G72" s="881"/>
      <c r="H72" s="881"/>
      <c r="I72" s="881"/>
      <c r="J72" s="881"/>
      <c r="K72" s="881"/>
      <c r="L72" s="881"/>
      <c r="M72" s="881"/>
      <c r="N72" s="881" t="s">
        <v>177</v>
      </c>
    </row>
    <row r="73" spans="1:14" s="6" customFormat="1" ht="16.5" x14ac:dyDescent="0.3">
      <c r="A73" s="114"/>
      <c r="B73" s="13"/>
      <c r="C73" s="13"/>
      <c r="D73" s="13"/>
      <c r="E73" s="882"/>
      <c r="F73" s="882"/>
      <c r="G73" s="882"/>
      <c r="H73" s="882"/>
      <c r="I73" s="882"/>
      <c r="J73" s="882"/>
      <c r="K73" s="882"/>
      <c r="L73" s="882"/>
      <c r="M73" s="882"/>
      <c r="N73" s="882"/>
    </row>
    <row r="74" spans="1:14" s="6" customFormat="1" ht="16.5" x14ac:dyDescent="0.3">
      <c r="A74" s="114"/>
      <c r="B74" s="13"/>
      <c r="C74" s="13"/>
      <c r="D74" s="13"/>
      <c r="E74" s="882"/>
      <c r="F74" s="882"/>
      <c r="G74" s="882"/>
      <c r="H74" s="882"/>
      <c r="I74" s="882"/>
      <c r="J74" s="882"/>
      <c r="K74" s="882"/>
      <c r="L74" s="882"/>
      <c r="M74" s="882"/>
      <c r="N74" s="882"/>
    </row>
    <row r="75" spans="1:14" s="6" customFormat="1" ht="27.75" customHeight="1" x14ac:dyDescent="0.3">
      <c r="A75" s="114"/>
      <c r="B75" s="13"/>
      <c r="C75" s="13"/>
      <c r="D75" s="13"/>
      <c r="E75" s="882"/>
      <c r="F75" s="882"/>
      <c r="G75" s="882"/>
      <c r="H75" s="882"/>
      <c r="I75" s="882"/>
      <c r="J75" s="882"/>
      <c r="K75" s="882"/>
      <c r="L75" s="882"/>
      <c r="M75" s="882"/>
      <c r="N75" s="882"/>
    </row>
    <row r="76" spans="1:14" s="6" customFormat="1" ht="3" customHeight="1" x14ac:dyDescent="0.3">
      <c r="A76" s="114"/>
      <c r="B76" s="13"/>
      <c r="C76" s="13"/>
      <c r="D76" s="13"/>
      <c r="E76" s="882"/>
      <c r="F76" s="882"/>
      <c r="G76" s="882"/>
      <c r="H76" s="882"/>
      <c r="I76" s="882"/>
      <c r="J76" s="882"/>
      <c r="K76" s="882"/>
      <c r="L76" s="882"/>
      <c r="M76" s="882"/>
      <c r="N76" s="882"/>
    </row>
    <row r="77" spans="1:14" s="6" customFormat="1" ht="8.25" hidden="1" customHeight="1" x14ac:dyDescent="0.3">
      <c r="A77" s="114"/>
      <c r="B77" s="13"/>
      <c r="C77" s="13"/>
      <c r="D77" s="13"/>
      <c r="E77" s="882"/>
      <c r="F77" s="882"/>
      <c r="G77" s="882"/>
      <c r="H77" s="882"/>
      <c r="I77" s="882"/>
      <c r="J77" s="882"/>
      <c r="K77" s="882"/>
      <c r="L77" s="882"/>
      <c r="M77" s="882"/>
      <c r="N77" s="882"/>
    </row>
    <row r="78" spans="1:14" s="6" customFormat="1" ht="16.5" hidden="1" x14ac:dyDescent="0.3">
      <c r="A78" s="114"/>
      <c r="B78" s="13"/>
      <c r="C78" s="13"/>
      <c r="D78" s="13"/>
      <c r="E78" s="882"/>
      <c r="F78" s="882"/>
      <c r="G78" s="882"/>
      <c r="H78" s="882"/>
      <c r="I78" s="882"/>
      <c r="J78" s="882"/>
      <c r="K78" s="882"/>
      <c r="L78" s="882"/>
      <c r="M78" s="882"/>
      <c r="N78" s="882"/>
    </row>
    <row r="79" spans="1:14" s="6" customFormat="1" ht="16.5" hidden="1" x14ac:dyDescent="0.3">
      <c r="A79" s="139"/>
      <c r="B79" s="14"/>
      <c r="C79" s="14"/>
      <c r="D79" s="14"/>
      <c r="E79" s="883"/>
      <c r="F79" s="883"/>
      <c r="G79" s="883"/>
      <c r="H79" s="883"/>
      <c r="I79" s="883"/>
      <c r="J79" s="883"/>
      <c r="K79" s="883"/>
      <c r="L79" s="883"/>
      <c r="M79" s="883"/>
      <c r="N79" s="883"/>
    </row>
    <row r="80" spans="1:14" s="6" customFormat="1" ht="16.5" x14ac:dyDescent="0.3">
      <c r="A80" s="103" t="s">
        <v>178</v>
      </c>
      <c r="B80" s="12" t="s">
        <v>174</v>
      </c>
      <c r="C80" s="12" t="s">
        <v>179</v>
      </c>
      <c r="D80" s="12" t="s">
        <v>180</v>
      </c>
      <c r="E80" s="881"/>
      <c r="F80" s="881"/>
      <c r="G80" s="881"/>
      <c r="H80" s="881"/>
      <c r="I80" s="881"/>
      <c r="J80" s="881"/>
      <c r="K80" s="881"/>
      <c r="L80" s="881"/>
      <c r="M80" s="881"/>
      <c r="N80" s="881" t="s">
        <v>177</v>
      </c>
    </row>
    <row r="81" spans="1:14" s="6" customFormat="1" ht="16.5" x14ac:dyDescent="0.3">
      <c r="A81" s="114"/>
      <c r="B81" s="13"/>
      <c r="C81" s="13"/>
      <c r="D81" s="13"/>
      <c r="E81" s="882"/>
      <c r="F81" s="882"/>
      <c r="G81" s="882"/>
      <c r="H81" s="882"/>
      <c r="I81" s="882"/>
      <c r="J81" s="882"/>
      <c r="K81" s="882"/>
      <c r="L81" s="882"/>
      <c r="M81" s="882"/>
      <c r="N81" s="882"/>
    </row>
    <row r="82" spans="1:14" s="6" customFormat="1" ht="16.5" x14ac:dyDescent="0.3">
      <c r="A82" s="114"/>
      <c r="B82" s="13"/>
      <c r="C82" s="13"/>
      <c r="D82" s="13"/>
      <c r="E82" s="882"/>
      <c r="F82" s="882"/>
      <c r="G82" s="882"/>
      <c r="H82" s="882"/>
      <c r="I82" s="882"/>
      <c r="J82" s="882"/>
      <c r="K82" s="882"/>
      <c r="L82" s="882"/>
      <c r="M82" s="882"/>
      <c r="N82" s="882"/>
    </row>
    <row r="83" spans="1:14" s="6" customFormat="1" ht="4.5" customHeight="1" x14ac:dyDescent="0.3">
      <c r="A83" s="114"/>
      <c r="B83" s="13"/>
      <c r="C83" s="13"/>
      <c r="D83" s="13"/>
      <c r="E83" s="882"/>
      <c r="F83" s="882"/>
      <c r="G83" s="882"/>
      <c r="H83" s="882"/>
      <c r="I83" s="882"/>
      <c r="J83" s="882"/>
      <c r="K83" s="882"/>
      <c r="L83" s="882"/>
      <c r="M83" s="882"/>
      <c r="N83" s="882"/>
    </row>
    <row r="84" spans="1:14" s="6" customFormat="1" ht="16.5" hidden="1" x14ac:dyDescent="0.3">
      <c r="A84" s="114"/>
      <c r="B84" s="13"/>
      <c r="C84" s="13"/>
      <c r="D84" s="13"/>
      <c r="E84" s="882"/>
      <c r="F84" s="882"/>
      <c r="G84" s="882"/>
      <c r="H84" s="882"/>
      <c r="I84" s="882"/>
      <c r="J84" s="882"/>
      <c r="K84" s="882"/>
      <c r="L84" s="882"/>
      <c r="M84" s="882"/>
      <c r="N84" s="882"/>
    </row>
    <row r="85" spans="1:14" s="6" customFormat="1" ht="16.5" hidden="1" x14ac:dyDescent="0.3">
      <c r="A85" s="114"/>
      <c r="B85" s="13"/>
      <c r="C85" s="13"/>
      <c r="D85" s="13"/>
      <c r="E85" s="882"/>
      <c r="F85" s="882"/>
      <c r="G85" s="882"/>
      <c r="H85" s="882"/>
      <c r="I85" s="882"/>
      <c r="J85" s="882"/>
      <c r="K85" s="882"/>
      <c r="L85" s="882"/>
      <c r="M85" s="882"/>
      <c r="N85" s="882"/>
    </row>
    <row r="86" spans="1:14" s="6" customFormat="1" ht="16.5" hidden="1" x14ac:dyDescent="0.3">
      <c r="A86" s="114"/>
      <c r="B86" s="13"/>
      <c r="C86" s="13"/>
      <c r="D86" s="13"/>
      <c r="E86" s="882"/>
      <c r="F86" s="882"/>
      <c r="G86" s="882"/>
      <c r="H86" s="882"/>
      <c r="I86" s="882"/>
      <c r="J86" s="882"/>
      <c r="K86" s="882"/>
      <c r="L86" s="882"/>
      <c r="M86" s="882"/>
      <c r="N86" s="882"/>
    </row>
    <row r="87" spans="1:14" s="6" customFormat="1" ht="16.5" hidden="1" x14ac:dyDescent="0.3">
      <c r="A87" s="114"/>
      <c r="B87" s="13"/>
      <c r="C87" s="13"/>
      <c r="D87" s="13"/>
      <c r="E87" s="882"/>
      <c r="F87" s="882"/>
      <c r="G87" s="882"/>
      <c r="H87" s="882"/>
      <c r="I87" s="882"/>
      <c r="J87" s="882"/>
      <c r="K87" s="882"/>
      <c r="L87" s="882"/>
      <c r="M87" s="882"/>
      <c r="N87" s="882"/>
    </row>
    <row r="88" spans="1:14" s="6" customFormat="1" ht="16.5" hidden="1" x14ac:dyDescent="0.3">
      <c r="A88" s="139"/>
      <c r="B88" s="14"/>
      <c r="C88" s="14"/>
      <c r="D88" s="14"/>
      <c r="E88" s="883"/>
      <c r="F88" s="883"/>
      <c r="G88" s="883"/>
      <c r="H88" s="883"/>
      <c r="I88" s="883"/>
      <c r="J88" s="883"/>
      <c r="K88" s="883"/>
      <c r="L88" s="883"/>
      <c r="M88" s="883"/>
      <c r="N88" s="883"/>
    </row>
    <row r="89" spans="1:14" s="6" customFormat="1" ht="16.5" x14ac:dyDescent="0.3">
      <c r="A89" s="103" t="s">
        <v>181</v>
      </c>
      <c r="B89" s="12" t="s">
        <v>174</v>
      </c>
      <c r="C89" s="12" t="s">
        <v>182</v>
      </c>
      <c r="D89" s="12" t="s">
        <v>183</v>
      </c>
      <c r="E89" s="881"/>
      <c r="F89" s="881"/>
      <c r="G89" s="881"/>
      <c r="H89" s="881"/>
      <c r="I89" s="881"/>
      <c r="J89" s="881"/>
      <c r="K89" s="881"/>
      <c r="L89" s="881"/>
      <c r="M89" s="881"/>
      <c r="N89" s="881" t="s">
        <v>177</v>
      </c>
    </row>
    <row r="90" spans="1:14" s="6" customFormat="1" ht="16.5" x14ac:dyDescent="0.3">
      <c r="A90" s="114"/>
      <c r="B90" s="13"/>
      <c r="C90" s="13"/>
      <c r="D90" s="13"/>
      <c r="E90" s="882"/>
      <c r="F90" s="882"/>
      <c r="G90" s="882"/>
      <c r="H90" s="882"/>
      <c r="I90" s="882"/>
      <c r="J90" s="882"/>
      <c r="K90" s="882"/>
      <c r="L90" s="882"/>
      <c r="M90" s="882"/>
      <c r="N90" s="882"/>
    </row>
    <row r="91" spans="1:14" s="6" customFormat="1" ht="16.5" x14ac:dyDescent="0.3">
      <c r="A91" s="114"/>
      <c r="B91" s="13"/>
      <c r="C91" s="13"/>
      <c r="D91" s="13"/>
      <c r="E91" s="882"/>
      <c r="F91" s="882"/>
      <c r="G91" s="882"/>
      <c r="H91" s="882"/>
      <c r="I91" s="882"/>
      <c r="J91" s="882"/>
      <c r="K91" s="882"/>
      <c r="L91" s="882"/>
      <c r="M91" s="882"/>
      <c r="N91" s="882"/>
    </row>
    <row r="92" spans="1:14" s="6" customFormat="1" ht="15.75" customHeight="1" x14ac:dyDescent="0.3">
      <c r="A92" s="139"/>
      <c r="B92" s="14"/>
      <c r="C92" s="14"/>
      <c r="D92" s="14"/>
      <c r="E92" s="883"/>
      <c r="F92" s="883"/>
      <c r="G92" s="883"/>
      <c r="H92" s="883"/>
      <c r="I92" s="883"/>
      <c r="J92" s="883"/>
      <c r="K92" s="883"/>
      <c r="L92" s="883"/>
      <c r="M92" s="883"/>
      <c r="N92" s="883"/>
    </row>
    <row r="93" spans="1:14" s="6" customFormat="1" ht="16.5" x14ac:dyDescent="0.3">
      <c r="A93" s="103" t="s">
        <v>184</v>
      </c>
      <c r="B93" s="12" t="s">
        <v>174</v>
      </c>
      <c r="C93" s="12" t="s">
        <v>185</v>
      </c>
      <c r="D93" s="12" t="s">
        <v>186</v>
      </c>
      <c r="E93" s="881"/>
      <c r="F93" s="881"/>
      <c r="G93" s="12"/>
      <c r="H93" s="881"/>
      <c r="I93" s="884"/>
      <c r="J93" s="885"/>
      <c r="K93" s="885"/>
      <c r="L93" s="881"/>
      <c r="M93" s="881"/>
      <c r="N93" s="12" t="s">
        <v>177</v>
      </c>
    </row>
    <row r="94" spans="1:14" s="6" customFormat="1" ht="16.5" x14ac:dyDescent="0.3">
      <c r="A94" s="114"/>
      <c r="B94" s="13"/>
      <c r="C94" s="13"/>
      <c r="D94" s="13"/>
      <c r="E94" s="882"/>
      <c r="F94" s="882"/>
      <c r="G94" s="13"/>
      <c r="H94" s="882"/>
      <c r="I94" s="882"/>
      <c r="J94" s="13"/>
      <c r="K94" s="13"/>
      <c r="L94" s="882"/>
      <c r="M94" s="882"/>
      <c r="N94" s="13"/>
    </row>
    <row r="95" spans="1:14" s="6" customFormat="1" ht="101.25" customHeight="1" x14ac:dyDescent="0.3">
      <c r="A95" s="139"/>
      <c r="B95" s="14"/>
      <c r="C95" s="14"/>
      <c r="D95" s="14"/>
      <c r="E95" s="883"/>
      <c r="F95" s="883"/>
      <c r="G95" s="14"/>
      <c r="H95" s="883"/>
      <c r="I95" s="883"/>
      <c r="J95" s="14"/>
      <c r="K95" s="14"/>
      <c r="L95" s="883"/>
      <c r="M95" s="883"/>
      <c r="N95" s="14"/>
    </row>
    <row r="96" spans="1:14" s="6" customFormat="1" ht="72" customHeight="1" x14ac:dyDescent="0.3">
      <c r="A96" s="886" t="s">
        <v>187</v>
      </c>
      <c r="B96" s="15" t="s">
        <v>174</v>
      </c>
      <c r="C96" s="15" t="s">
        <v>188</v>
      </c>
      <c r="D96" s="15" t="s">
        <v>189</v>
      </c>
      <c r="E96" s="274"/>
      <c r="F96" s="274"/>
      <c r="G96" s="15"/>
      <c r="H96" s="274"/>
      <c r="I96" s="274"/>
      <c r="J96" s="15"/>
      <c r="K96" s="15"/>
      <c r="L96" s="274"/>
      <c r="M96" s="274"/>
      <c r="N96" s="15" t="s">
        <v>177</v>
      </c>
    </row>
    <row r="97" spans="1:18" s="6" customFormat="1" ht="79.5" customHeight="1" x14ac:dyDescent="0.3">
      <c r="A97" s="886" t="s">
        <v>190</v>
      </c>
      <c r="B97" s="15" t="s">
        <v>174</v>
      </c>
      <c r="C97" s="15" t="s">
        <v>191</v>
      </c>
      <c r="D97" s="15" t="s">
        <v>192</v>
      </c>
      <c r="E97" s="274"/>
      <c r="F97" s="274"/>
      <c r="G97" s="15"/>
      <c r="H97" s="274"/>
      <c r="I97" s="274"/>
      <c r="J97" s="15"/>
      <c r="K97" s="15"/>
      <c r="L97" s="274"/>
      <c r="M97" s="274"/>
      <c r="N97" s="15" t="s">
        <v>177</v>
      </c>
    </row>
    <row r="98" spans="1:18" s="6" customFormat="1" ht="30" customHeight="1" x14ac:dyDescent="0.3">
      <c r="A98" s="16" t="s">
        <v>194</v>
      </c>
      <c r="B98" s="16"/>
      <c r="C98" s="16"/>
      <c r="D98" s="16"/>
      <c r="E98" s="16"/>
      <c r="F98" s="16"/>
      <c r="G98" s="16"/>
      <c r="H98" s="16"/>
      <c r="I98" s="16"/>
      <c r="J98" s="16"/>
      <c r="K98" s="16"/>
      <c r="L98" s="16"/>
      <c r="M98" s="16"/>
      <c r="N98" s="17"/>
      <c r="O98" s="9"/>
      <c r="P98" s="9"/>
      <c r="Q98" s="9"/>
      <c r="R98" s="895"/>
    </row>
    <row r="99" spans="1:18" s="6" customFormat="1" ht="33.75" customHeight="1" x14ac:dyDescent="0.3">
      <c r="A99" s="59" t="s">
        <v>195</v>
      </c>
      <c r="B99" s="59" t="s">
        <v>196</v>
      </c>
      <c r="C99" s="887" t="s">
        <v>197</v>
      </c>
      <c r="D99" s="18" t="s">
        <v>198</v>
      </c>
      <c r="E99" s="19" t="s">
        <v>1</v>
      </c>
      <c r="F99" s="20"/>
      <c r="G99" s="21"/>
      <c r="H99" s="22" t="s">
        <v>199</v>
      </c>
      <c r="I99" s="23">
        <v>7539500</v>
      </c>
      <c r="J99" s="22" t="s">
        <v>26</v>
      </c>
      <c r="K99" s="22" t="s">
        <v>200</v>
      </c>
      <c r="L99" s="20"/>
      <c r="M99" s="20"/>
      <c r="N99" s="24" t="s">
        <v>201</v>
      </c>
    </row>
    <row r="100" spans="1:18" s="6" customFormat="1" ht="34.5" customHeight="1" x14ac:dyDescent="0.3">
      <c r="A100" s="59"/>
      <c r="B100" s="59"/>
      <c r="C100" s="887"/>
      <c r="D100" s="18" t="s">
        <v>202</v>
      </c>
      <c r="E100" s="19"/>
      <c r="F100" s="20"/>
      <c r="G100" s="21"/>
      <c r="H100" s="22"/>
      <c r="I100" s="23"/>
      <c r="J100" s="22"/>
      <c r="K100" s="22"/>
      <c r="L100" s="20"/>
      <c r="M100" s="20"/>
      <c r="N100" s="24"/>
    </row>
    <row r="101" spans="1:18" s="6" customFormat="1" ht="84" customHeight="1" x14ac:dyDescent="0.3">
      <c r="A101" s="59"/>
      <c r="B101" s="59"/>
      <c r="C101" s="887"/>
      <c r="D101" s="18" t="s">
        <v>203</v>
      </c>
      <c r="E101" s="19"/>
      <c r="F101" s="20"/>
      <c r="G101" s="21"/>
      <c r="H101" s="22"/>
      <c r="I101" s="23"/>
      <c r="J101" s="22"/>
      <c r="K101" s="22"/>
      <c r="L101" s="20"/>
      <c r="M101" s="20"/>
      <c r="N101" s="24"/>
    </row>
    <row r="102" spans="1:18" s="6" customFormat="1" ht="30" customHeight="1" x14ac:dyDescent="0.3">
      <c r="A102" s="59"/>
      <c r="B102" s="59"/>
      <c r="C102" s="887"/>
      <c r="D102" s="18" t="s">
        <v>204</v>
      </c>
      <c r="E102" s="25"/>
      <c r="F102" s="26"/>
      <c r="G102" s="27"/>
      <c r="H102" s="28"/>
      <c r="I102" s="29"/>
      <c r="J102" s="28"/>
      <c r="K102" s="28"/>
      <c r="L102" s="26"/>
      <c r="M102" s="26"/>
      <c r="N102" s="30"/>
    </row>
    <row r="103" spans="1:18" s="6" customFormat="1" ht="111" customHeight="1" x14ac:dyDescent="0.3">
      <c r="A103" s="888" t="s">
        <v>205</v>
      </c>
      <c r="B103" s="888" t="s">
        <v>196</v>
      </c>
      <c r="C103" s="889" t="s">
        <v>206</v>
      </c>
      <c r="D103" s="31" t="s">
        <v>207</v>
      </c>
      <c r="E103" s="19" t="s">
        <v>1</v>
      </c>
      <c r="F103" s="20"/>
      <c r="G103" s="21"/>
      <c r="H103" s="23" t="s">
        <v>199</v>
      </c>
      <c r="I103" s="23">
        <v>1039500</v>
      </c>
      <c r="J103" s="22" t="s">
        <v>26</v>
      </c>
      <c r="K103" s="22" t="s">
        <v>200</v>
      </c>
      <c r="L103" s="20"/>
      <c r="M103" s="20"/>
      <c r="N103" s="24" t="s">
        <v>201</v>
      </c>
    </row>
    <row r="104" spans="1:18" s="6" customFormat="1" ht="120" customHeight="1" x14ac:dyDescent="0.3">
      <c r="A104" s="888"/>
      <c r="B104" s="888"/>
      <c r="C104" s="889"/>
      <c r="D104" s="31" t="s">
        <v>208</v>
      </c>
      <c r="E104" s="19"/>
      <c r="F104" s="20"/>
      <c r="G104" s="21"/>
      <c r="H104" s="23"/>
      <c r="I104" s="23"/>
      <c r="J104" s="22"/>
      <c r="K104" s="22"/>
      <c r="L104" s="20"/>
      <c r="M104" s="20"/>
      <c r="N104" s="24"/>
    </row>
    <row r="105" spans="1:18" s="6" customFormat="1" ht="125.25" customHeight="1" x14ac:dyDescent="0.3">
      <c r="A105" s="888"/>
      <c r="B105" s="888"/>
      <c r="C105" s="889"/>
      <c r="D105" s="18" t="s">
        <v>209</v>
      </c>
      <c r="E105" s="19"/>
      <c r="F105" s="20"/>
      <c r="G105" s="21"/>
      <c r="H105" s="23"/>
      <c r="I105" s="23"/>
      <c r="J105" s="22"/>
      <c r="K105" s="22"/>
      <c r="L105" s="20"/>
      <c r="M105" s="20"/>
      <c r="N105" s="24"/>
    </row>
    <row r="106" spans="1:18" s="6" customFormat="1" ht="44.25" customHeight="1" x14ac:dyDescent="0.3">
      <c r="A106" s="33" t="s">
        <v>210</v>
      </c>
      <c r="B106" s="33" t="s">
        <v>196</v>
      </c>
      <c r="C106" s="54" t="s">
        <v>211</v>
      </c>
      <c r="D106" s="18" t="s">
        <v>212</v>
      </c>
      <c r="E106" s="19" t="s">
        <v>1</v>
      </c>
      <c r="F106" s="24"/>
      <c r="G106" s="24"/>
      <c r="H106" s="24" t="s">
        <v>199</v>
      </c>
      <c r="I106" s="32">
        <v>50000</v>
      </c>
      <c r="J106" s="24" t="s">
        <v>213</v>
      </c>
      <c r="K106" s="24" t="s">
        <v>214</v>
      </c>
      <c r="L106" s="24"/>
      <c r="M106" s="24"/>
      <c r="N106" s="24" t="s">
        <v>215</v>
      </c>
    </row>
    <row r="107" spans="1:18" s="6" customFormat="1" ht="63.75" x14ac:dyDescent="0.3">
      <c r="A107" s="33"/>
      <c r="B107" s="33"/>
      <c r="C107" s="54"/>
      <c r="D107" s="18" t="s">
        <v>216</v>
      </c>
      <c r="E107" s="19"/>
      <c r="F107" s="24"/>
      <c r="G107" s="24"/>
      <c r="H107" s="24"/>
      <c r="I107" s="32"/>
      <c r="J107" s="24"/>
      <c r="K107" s="24"/>
      <c r="L107" s="24"/>
      <c r="M107" s="24"/>
      <c r="N107" s="24"/>
    </row>
    <row r="108" spans="1:18" s="6" customFormat="1" ht="51" x14ac:dyDescent="0.3">
      <c r="A108" s="33"/>
      <c r="B108" s="33"/>
      <c r="C108" s="54"/>
      <c r="D108" s="18" t="s">
        <v>217</v>
      </c>
      <c r="E108" s="19"/>
      <c r="F108" s="24"/>
      <c r="G108" s="24"/>
      <c r="H108" s="24"/>
      <c r="I108" s="32"/>
      <c r="J108" s="24"/>
      <c r="K108" s="24"/>
      <c r="L108" s="24"/>
      <c r="M108" s="24"/>
      <c r="N108" s="24"/>
    </row>
    <row r="109" spans="1:18" s="6" customFormat="1" ht="70.5" customHeight="1" x14ac:dyDescent="0.3">
      <c r="A109" s="33"/>
      <c r="B109" s="33"/>
      <c r="C109" s="54"/>
      <c r="D109" s="18" t="s">
        <v>218</v>
      </c>
      <c r="E109" s="19"/>
      <c r="F109" s="24"/>
      <c r="G109" s="24"/>
      <c r="H109" s="24"/>
      <c r="I109" s="32"/>
      <c r="J109" s="24"/>
      <c r="K109" s="24"/>
      <c r="L109" s="24"/>
      <c r="M109" s="24"/>
      <c r="N109" s="24"/>
    </row>
    <row r="110" spans="1:18" s="6" customFormat="1" ht="51" x14ac:dyDescent="0.3">
      <c r="A110" s="33"/>
      <c r="B110" s="33"/>
      <c r="C110" s="54"/>
      <c r="D110" s="18" t="s">
        <v>219</v>
      </c>
      <c r="E110" s="19"/>
      <c r="F110" s="24"/>
      <c r="G110" s="24"/>
      <c r="H110" s="24"/>
      <c r="I110" s="32"/>
      <c r="J110" s="24"/>
      <c r="K110" s="24"/>
      <c r="L110" s="24"/>
      <c r="M110" s="24"/>
      <c r="N110" s="24"/>
    </row>
    <row r="111" spans="1:18" s="6" customFormat="1" ht="46.5" customHeight="1" x14ac:dyDescent="0.3">
      <c r="A111" s="33" t="s">
        <v>220</v>
      </c>
      <c r="B111" s="34" t="s">
        <v>196</v>
      </c>
      <c r="C111" s="35" t="s">
        <v>221</v>
      </c>
      <c r="D111" s="36" t="s">
        <v>222</v>
      </c>
      <c r="E111" s="19" t="s">
        <v>1</v>
      </c>
      <c r="F111" s="24"/>
      <c r="G111" s="24"/>
      <c r="H111" s="24" t="s">
        <v>199</v>
      </c>
      <c r="I111" s="32">
        <v>400000</v>
      </c>
      <c r="J111" s="24" t="s">
        <v>213</v>
      </c>
      <c r="K111" s="24" t="s">
        <v>214</v>
      </c>
      <c r="L111" s="24"/>
      <c r="M111" s="24"/>
      <c r="N111" s="24" t="s">
        <v>201</v>
      </c>
    </row>
    <row r="112" spans="1:18" s="6" customFormat="1" ht="44.25" customHeight="1" x14ac:dyDescent="0.3">
      <c r="A112" s="33"/>
      <c r="B112" s="34"/>
      <c r="C112" s="35"/>
      <c r="D112" s="37" t="s">
        <v>223</v>
      </c>
      <c r="E112" s="19"/>
      <c r="F112" s="24"/>
      <c r="G112" s="24"/>
      <c r="H112" s="24"/>
      <c r="I112" s="32"/>
      <c r="J112" s="24"/>
      <c r="K112" s="24"/>
      <c r="L112" s="24"/>
      <c r="M112" s="24"/>
      <c r="N112" s="24"/>
    </row>
    <row r="113" spans="1:14" s="6" customFormat="1" ht="43.5" customHeight="1" x14ac:dyDescent="0.3">
      <c r="A113" s="33"/>
      <c r="B113" s="34"/>
      <c r="C113" s="35"/>
      <c r="D113" s="36" t="s">
        <v>224</v>
      </c>
      <c r="E113" s="19"/>
      <c r="F113" s="24"/>
      <c r="G113" s="24"/>
      <c r="H113" s="24"/>
      <c r="I113" s="32"/>
      <c r="J113" s="24"/>
      <c r="K113" s="24"/>
      <c r="L113" s="24"/>
      <c r="M113" s="24"/>
      <c r="N113" s="24"/>
    </row>
    <row r="114" spans="1:14" s="6" customFormat="1" ht="42" customHeight="1" x14ac:dyDescent="0.3">
      <c r="A114" s="33"/>
      <c r="B114" s="34"/>
      <c r="C114" s="35"/>
      <c r="D114" s="37" t="s">
        <v>225</v>
      </c>
      <c r="E114" s="19"/>
      <c r="F114" s="24"/>
      <c r="G114" s="24"/>
      <c r="H114" s="24"/>
      <c r="I114" s="32"/>
      <c r="J114" s="24"/>
      <c r="K114" s="24"/>
      <c r="L114" s="24"/>
      <c r="M114" s="24"/>
      <c r="N114" s="24"/>
    </row>
    <row r="115" spans="1:14" s="6" customFormat="1" ht="84" customHeight="1" x14ac:dyDescent="0.3">
      <c r="A115" s="33"/>
      <c r="B115" s="34"/>
      <c r="C115" s="35"/>
      <c r="D115" s="36" t="s">
        <v>226</v>
      </c>
      <c r="E115" s="19"/>
      <c r="F115" s="24"/>
      <c r="G115" s="24"/>
      <c r="H115" s="24"/>
      <c r="I115" s="32"/>
      <c r="J115" s="24"/>
      <c r="K115" s="24"/>
      <c r="L115" s="24"/>
      <c r="M115" s="24"/>
      <c r="N115" s="24"/>
    </row>
    <row r="116" spans="1:14" s="6" customFormat="1" ht="93.75" customHeight="1" x14ac:dyDescent="0.3">
      <c r="A116" s="33"/>
      <c r="B116" s="34"/>
      <c r="C116" s="35"/>
      <c r="D116" s="37" t="s">
        <v>227</v>
      </c>
      <c r="E116" s="19"/>
      <c r="F116" s="24"/>
      <c r="G116" s="24"/>
      <c r="H116" s="24"/>
      <c r="I116" s="32"/>
      <c r="J116" s="24"/>
      <c r="K116" s="24"/>
      <c r="L116" s="24"/>
      <c r="M116" s="24"/>
      <c r="N116" s="24"/>
    </row>
    <row r="117" spans="1:14" s="6" customFormat="1" ht="47.25" customHeight="1" x14ac:dyDescent="0.3">
      <c r="A117" s="38" t="s">
        <v>228</v>
      </c>
      <c r="B117" s="39" t="s">
        <v>196</v>
      </c>
      <c r="C117" s="18" t="s">
        <v>229</v>
      </c>
      <c r="D117" s="37" t="s">
        <v>230</v>
      </c>
      <c r="E117" s="25" t="s">
        <v>1</v>
      </c>
      <c r="F117" s="40"/>
      <c r="G117" s="41"/>
      <c r="H117" s="42" t="s">
        <v>199</v>
      </c>
      <c r="I117" s="29">
        <v>121000</v>
      </c>
      <c r="J117" s="28" t="s">
        <v>26</v>
      </c>
      <c r="K117" s="28" t="s">
        <v>200</v>
      </c>
      <c r="L117" s="40"/>
      <c r="M117" s="40"/>
      <c r="N117" s="43" t="s">
        <v>201</v>
      </c>
    </row>
    <row r="118" spans="1:14" s="6" customFormat="1" ht="42" customHeight="1" x14ac:dyDescent="0.3">
      <c r="A118" s="38" t="s">
        <v>231</v>
      </c>
      <c r="B118" s="39" t="s">
        <v>196</v>
      </c>
      <c r="C118" s="18" t="s">
        <v>232</v>
      </c>
      <c r="D118" s="37" t="s">
        <v>233</v>
      </c>
      <c r="E118" s="44"/>
      <c r="F118" s="45"/>
      <c r="G118" s="45"/>
      <c r="H118" s="46" t="s">
        <v>199</v>
      </c>
      <c r="I118" s="47">
        <v>30000</v>
      </c>
      <c r="J118" s="48" t="s">
        <v>213</v>
      </c>
      <c r="K118" s="48" t="s">
        <v>214</v>
      </c>
      <c r="L118" s="45"/>
      <c r="M118" s="45"/>
      <c r="N118" s="46" t="s">
        <v>234</v>
      </c>
    </row>
    <row r="119" spans="1:14" s="6" customFormat="1" ht="58.5" customHeight="1" x14ac:dyDescent="0.3">
      <c r="A119" s="33" t="s">
        <v>235</v>
      </c>
      <c r="B119" s="34" t="s">
        <v>196</v>
      </c>
      <c r="C119" s="49" t="s">
        <v>236</v>
      </c>
      <c r="D119" s="31" t="s">
        <v>237</v>
      </c>
      <c r="E119" s="19" t="s">
        <v>1</v>
      </c>
      <c r="F119" s="20"/>
      <c r="G119" s="21"/>
      <c r="H119" s="22" t="s">
        <v>199</v>
      </c>
      <c r="I119" s="23">
        <v>45000</v>
      </c>
      <c r="J119" s="22" t="s">
        <v>213</v>
      </c>
      <c r="K119" s="22" t="s">
        <v>214</v>
      </c>
      <c r="L119" s="20"/>
      <c r="M119" s="20"/>
      <c r="N119" s="24" t="s">
        <v>201</v>
      </c>
    </row>
    <row r="120" spans="1:14" s="6" customFormat="1" ht="25.5" x14ac:dyDescent="0.3">
      <c r="A120" s="33"/>
      <c r="B120" s="34"/>
      <c r="C120" s="49"/>
      <c r="D120" s="31" t="s">
        <v>238</v>
      </c>
      <c r="E120" s="19"/>
      <c r="F120" s="20"/>
      <c r="G120" s="21"/>
      <c r="H120" s="22"/>
      <c r="I120" s="23"/>
      <c r="J120" s="22"/>
      <c r="K120" s="22"/>
      <c r="L120" s="20"/>
      <c r="M120" s="20"/>
      <c r="N120" s="24"/>
    </row>
    <row r="121" spans="1:14" s="6" customFormat="1" ht="57.75" customHeight="1" x14ac:dyDescent="0.3">
      <c r="A121" s="33"/>
      <c r="B121" s="34"/>
      <c r="C121" s="49"/>
      <c r="D121" s="31" t="s">
        <v>239</v>
      </c>
      <c r="E121" s="19"/>
      <c r="F121" s="20"/>
      <c r="G121" s="21"/>
      <c r="H121" s="22"/>
      <c r="I121" s="23"/>
      <c r="J121" s="22"/>
      <c r="K121" s="22"/>
      <c r="L121" s="20"/>
      <c r="M121" s="20"/>
      <c r="N121" s="24"/>
    </row>
    <row r="122" spans="1:14" s="6" customFormat="1" ht="16.5" x14ac:dyDescent="0.3">
      <c r="A122" s="34" t="s">
        <v>240</v>
      </c>
      <c r="B122" s="34"/>
      <c r="C122" s="34"/>
      <c r="D122" s="34"/>
      <c r="E122" s="44"/>
      <c r="F122" s="45"/>
      <c r="G122" s="45"/>
      <c r="H122" s="45"/>
      <c r="I122" s="44"/>
      <c r="J122" s="44"/>
      <c r="K122" s="44"/>
      <c r="L122" s="45"/>
      <c r="M122" s="45"/>
      <c r="N122" s="45"/>
    </row>
    <row r="123" spans="1:14" s="6" customFormat="1" ht="51" x14ac:dyDescent="0.3">
      <c r="A123" s="50" t="s">
        <v>241</v>
      </c>
      <c r="B123" s="34" t="s">
        <v>196</v>
      </c>
      <c r="C123" s="51" t="s">
        <v>242</v>
      </c>
      <c r="D123" s="18" t="s">
        <v>243</v>
      </c>
      <c r="E123" s="19" t="s">
        <v>1</v>
      </c>
      <c r="F123" s="24"/>
      <c r="G123" s="24"/>
      <c r="H123" s="24" t="s">
        <v>244</v>
      </c>
      <c r="I123" s="32">
        <v>803000</v>
      </c>
      <c r="J123" s="24" t="s">
        <v>245</v>
      </c>
      <c r="K123" s="24" t="s">
        <v>246</v>
      </c>
      <c r="L123" s="24"/>
      <c r="M123" s="24"/>
      <c r="N123" s="24" t="s">
        <v>201</v>
      </c>
    </row>
    <row r="124" spans="1:14" s="6" customFormat="1" ht="54.75" customHeight="1" x14ac:dyDescent="0.3">
      <c r="A124" s="50"/>
      <c r="B124" s="34"/>
      <c r="C124" s="51"/>
      <c r="D124" s="18" t="s">
        <v>247</v>
      </c>
      <c r="E124" s="19"/>
      <c r="F124" s="24"/>
      <c r="G124" s="24"/>
      <c r="H124" s="24"/>
      <c r="I124" s="32"/>
      <c r="J124" s="24"/>
      <c r="K124" s="24"/>
      <c r="L124" s="24"/>
      <c r="M124" s="24"/>
      <c r="N124" s="24"/>
    </row>
    <row r="125" spans="1:14" s="6" customFormat="1" ht="59.25" customHeight="1" x14ac:dyDescent="0.3">
      <c r="A125" s="50"/>
      <c r="B125" s="34"/>
      <c r="C125" s="51"/>
      <c r="D125" s="18" t="s">
        <v>248</v>
      </c>
      <c r="E125" s="19"/>
      <c r="F125" s="24"/>
      <c r="G125" s="24"/>
      <c r="H125" s="24"/>
      <c r="I125" s="32"/>
      <c r="J125" s="24"/>
      <c r="K125" s="24"/>
      <c r="L125" s="24"/>
      <c r="M125" s="24"/>
      <c r="N125" s="24"/>
    </row>
    <row r="126" spans="1:14" s="6" customFormat="1" ht="45.75" customHeight="1" x14ac:dyDescent="0.3">
      <c r="A126" s="50"/>
      <c r="B126" s="34"/>
      <c r="C126" s="51"/>
      <c r="D126" s="18" t="s">
        <v>249</v>
      </c>
      <c r="E126" s="19"/>
      <c r="F126" s="24"/>
      <c r="G126" s="24"/>
      <c r="H126" s="24"/>
      <c r="I126" s="32"/>
      <c r="J126" s="24"/>
      <c r="K126" s="24"/>
      <c r="L126" s="24"/>
      <c r="M126" s="24"/>
      <c r="N126" s="24"/>
    </row>
    <row r="127" spans="1:14" s="6" customFormat="1" ht="30.75" customHeight="1" x14ac:dyDescent="0.3">
      <c r="A127" s="50"/>
      <c r="B127" s="34"/>
      <c r="C127" s="51"/>
      <c r="D127" s="18" t="s">
        <v>250</v>
      </c>
      <c r="E127" s="19"/>
      <c r="F127" s="24"/>
      <c r="G127" s="24"/>
      <c r="H127" s="24"/>
      <c r="I127" s="32"/>
      <c r="J127" s="24"/>
      <c r="K127" s="24"/>
      <c r="L127" s="24"/>
      <c r="M127" s="24"/>
      <c r="N127" s="24"/>
    </row>
    <row r="128" spans="1:14" s="6" customFormat="1" ht="47.25" customHeight="1" x14ac:dyDescent="0.3">
      <c r="A128" s="50"/>
      <c r="B128" s="34"/>
      <c r="C128" s="51"/>
      <c r="D128" s="18" t="s">
        <v>251</v>
      </c>
      <c r="E128" s="19"/>
      <c r="F128" s="24"/>
      <c r="G128" s="24"/>
      <c r="H128" s="24"/>
      <c r="I128" s="32"/>
      <c r="J128" s="24"/>
      <c r="K128" s="24"/>
      <c r="L128" s="24"/>
      <c r="M128" s="24"/>
      <c r="N128" s="24"/>
    </row>
    <row r="129" spans="1:14" s="6" customFormat="1" ht="40.5" customHeight="1" x14ac:dyDescent="0.3">
      <c r="A129" s="50" t="s">
        <v>252</v>
      </c>
      <c r="B129" s="34" t="s">
        <v>196</v>
      </c>
      <c r="C129" s="52" t="s">
        <v>253</v>
      </c>
      <c r="D129" s="18" t="s">
        <v>254</v>
      </c>
      <c r="E129" s="19" t="s">
        <v>1</v>
      </c>
      <c r="F129" s="24"/>
      <c r="G129" s="24"/>
      <c r="H129" s="24" t="s">
        <v>244</v>
      </c>
      <c r="I129" s="32">
        <v>20000</v>
      </c>
      <c r="J129" s="24" t="s">
        <v>213</v>
      </c>
      <c r="K129" s="24" t="s">
        <v>214</v>
      </c>
      <c r="L129" s="24"/>
      <c r="M129" s="24"/>
      <c r="N129" s="24" t="s">
        <v>201</v>
      </c>
    </row>
    <row r="130" spans="1:14" s="6" customFormat="1" ht="62.25" customHeight="1" x14ac:dyDescent="0.3">
      <c r="A130" s="50"/>
      <c r="B130" s="34"/>
      <c r="C130" s="52"/>
      <c r="D130" s="18" t="s">
        <v>255</v>
      </c>
      <c r="E130" s="19"/>
      <c r="F130" s="24"/>
      <c r="G130" s="24"/>
      <c r="H130" s="24"/>
      <c r="I130" s="32"/>
      <c r="J130" s="24"/>
      <c r="K130" s="24"/>
      <c r="L130" s="24"/>
      <c r="M130" s="24"/>
      <c r="N130" s="24"/>
    </row>
    <row r="131" spans="1:14" s="6" customFormat="1" ht="38.25" x14ac:dyDescent="0.3">
      <c r="A131" s="50"/>
      <c r="B131" s="34"/>
      <c r="C131" s="52"/>
      <c r="D131" s="18" t="s">
        <v>256</v>
      </c>
      <c r="E131" s="19"/>
      <c r="F131" s="24"/>
      <c r="G131" s="24"/>
      <c r="H131" s="24"/>
      <c r="I131" s="32"/>
      <c r="J131" s="24"/>
      <c r="K131" s="24"/>
      <c r="L131" s="24"/>
      <c r="M131" s="24"/>
      <c r="N131" s="24"/>
    </row>
    <row r="132" spans="1:14" s="6" customFormat="1" ht="58.5" customHeight="1" x14ac:dyDescent="0.3">
      <c r="A132" s="50"/>
      <c r="B132" s="34"/>
      <c r="C132" s="52"/>
      <c r="D132" s="18" t="s">
        <v>257</v>
      </c>
      <c r="E132" s="19"/>
      <c r="F132" s="24"/>
      <c r="G132" s="24"/>
      <c r="H132" s="24"/>
      <c r="I132" s="32"/>
      <c r="J132" s="24"/>
      <c r="K132" s="24"/>
      <c r="L132" s="24"/>
      <c r="M132" s="24"/>
      <c r="N132" s="24"/>
    </row>
    <row r="133" spans="1:14" s="6" customFormat="1" ht="45.75" customHeight="1" x14ac:dyDescent="0.3">
      <c r="A133" s="50"/>
      <c r="B133" s="34"/>
      <c r="C133" s="52"/>
      <c r="D133" s="18" t="s">
        <v>258</v>
      </c>
      <c r="E133" s="25"/>
      <c r="F133" s="30"/>
      <c r="G133" s="30"/>
      <c r="H133" s="30"/>
      <c r="I133" s="53"/>
      <c r="J133" s="30"/>
      <c r="K133" s="30"/>
      <c r="L133" s="30"/>
      <c r="M133" s="30"/>
      <c r="N133" s="30"/>
    </row>
    <row r="134" spans="1:14" s="6" customFormat="1" ht="49.5" customHeight="1" x14ac:dyDescent="0.3">
      <c r="A134" s="50" t="s">
        <v>259</v>
      </c>
      <c r="B134" s="34" t="s">
        <v>196</v>
      </c>
      <c r="C134" s="54" t="s">
        <v>260</v>
      </c>
      <c r="D134" s="18" t="s">
        <v>261</v>
      </c>
      <c r="E134" s="19" t="s">
        <v>1</v>
      </c>
      <c r="F134" s="24"/>
      <c r="G134" s="24"/>
      <c r="H134" s="24" t="s">
        <v>244</v>
      </c>
      <c r="I134" s="32">
        <v>4972000</v>
      </c>
      <c r="J134" s="24" t="s">
        <v>262</v>
      </c>
      <c r="K134" s="24" t="s">
        <v>214</v>
      </c>
      <c r="L134" s="24"/>
      <c r="M134" s="24"/>
      <c r="N134" s="24" t="s">
        <v>201</v>
      </c>
    </row>
    <row r="135" spans="1:14" s="6" customFormat="1" ht="54.75" customHeight="1" x14ac:dyDescent="0.3">
      <c r="A135" s="50"/>
      <c r="B135" s="34"/>
      <c r="C135" s="54"/>
      <c r="D135" s="18" t="s">
        <v>263</v>
      </c>
      <c r="E135" s="19"/>
      <c r="F135" s="24"/>
      <c r="G135" s="24"/>
      <c r="H135" s="24"/>
      <c r="I135" s="32"/>
      <c r="J135" s="24"/>
      <c r="K135" s="24"/>
      <c r="L135" s="24"/>
      <c r="M135" s="24"/>
      <c r="N135" s="24"/>
    </row>
    <row r="136" spans="1:14" s="6" customFormat="1" ht="53.25" customHeight="1" x14ac:dyDescent="0.3">
      <c r="A136" s="50"/>
      <c r="B136" s="34"/>
      <c r="C136" s="54"/>
      <c r="D136" s="18" t="s">
        <v>264</v>
      </c>
      <c r="E136" s="25"/>
      <c r="F136" s="30"/>
      <c r="G136" s="30"/>
      <c r="H136" s="30"/>
      <c r="I136" s="53"/>
      <c r="J136" s="30"/>
      <c r="K136" s="30"/>
      <c r="L136" s="30"/>
      <c r="M136" s="30"/>
      <c r="N136" s="30"/>
    </row>
    <row r="137" spans="1:14" s="6" customFormat="1" ht="30" customHeight="1" x14ac:dyDescent="0.3">
      <c r="A137" s="55" t="s">
        <v>265</v>
      </c>
      <c r="B137" s="56" t="s">
        <v>196</v>
      </c>
      <c r="C137" s="57" t="s">
        <v>266</v>
      </c>
      <c r="D137" s="18" t="s">
        <v>267</v>
      </c>
      <c r="E137" s="19" t="s">
        <v>1</v>
      </c>
      <c r="F137" s="24"/>
      <c r="G137" s="24"/>
      <c r="H137" s="24" t="s">
        <v>244</v>
      </c>
      <c r="I137" s="32">
        <v>5000000</v>
      </c>
      <c r="J137" s="24" t="s">
        <v>268</v>
      </c>
      <c r="K137" s="24" t="s">
        <v>214</v>
      </c>
      <c r="L137" s="24"/>
      <c r="M137" s="24"/>
      <c r="N137" s="24" t="s">
        <v>201</v>
      </c>
    </row>
    <row r="138" spans="1:14" s="6" customFormat="1" ht="45" customHeight="1" x14ac:dyDescent="0.3">
      <c r="A138" s="55"/>
      <c r="B138" s="56"/>
      <c r="C138" s="57"/>
      <c r="D138" s="18" t="s">
        <v>269</v>
      </c>
      <c r="E138" s="19"/>
      <c r="F138" s="24"/>
      <c r="G138" s="24"/>
      <c r="H138" s="24"/>
      <c r="I138" s="32"/>
      <c r="J138" s="24"/>
      <c r="K138" s="24"/>
      <c r="L138" s="24"/>
      <c r="M138" s="24"/>
      <c r="N138" s="24"/>
    </row>
    <row r="139" spans="1:14" s="6" customFormat="1" ht="30.75" customHeight="1" x14ac:dyDescent="0.3">
      <c r="A139" s="55" t="s">
        <v>270</v>
      </c>
      <c r="B139" s="56" t="s">
        <v>196</v>
      </c>
      <c r="C139" s="57" t="s">
        <v>271</v>
      </c>
      <c r="D139" s="18" t="s">
        <v>272</v>
      </c>
      <c r="E139" s="19" t="s">
        <v>1</v>
      </c>
      <c r="F139" s="24"/>
      <c r="G139" s="24"/>
      <c r="H139" s="24" t="s">
        <v>244</v>
      </c>
      <c r="I139" s="32">
        <v>8000000</v>
      </c>
      <c r="J139" s="24" t="s">
        <v>268</v>
      </c>
      <c r="K139" s="24" t="s">
        <v>214</v>
      </c>
      <c r="L139" s="24"/>
      <c r="M139" s="24"/>
      <c r="N139" s="24" t="s">
        <v>201</v>
      </c>
    </row>
    <row r="140" spans="1:14" s="6" customFormat="1" ht="45" customHeight="1" x14ac:dyDescent="0.3">
      <c r="A140" s="55"/>
      <c r="B140" s="56"/>
      <c r="C140" s="57"/>
      <c r="D140" s="18" t="s">
        <v>273</v>
      </c>
      <c r="E140" s="19"/>
      <c r="F140" s="24"/>
      <c r="G140" s="24"/>
      <c r="H140" s="24"/>
      <c r="I140" s="32"/>
      <c r="J140" s="24"/>
      <c r="K140" s="24"/>
      <c r="L140" s="24"/>
      <c r="M140" s="24"/>
      <c r="N140" s="24"/>
    </row>
    <row r="141" spans="1:14" s="6" customFormat="1" ht="31.5" customHeight="1" x14ac:dyDescent="0.3">
      <c r="A141" s="55" t="s">
        <v>274</v>
      </c>
      <c r="B141" s="56" t="s">
        <v>196</v>
      </c>
      <c r="C141" s="57" t="s">
        <v>275</v>
      </c>
      <c r="D141" s="18" t="s">
        <v>267</v>
      </c>
      <c r="E141" s="19" t="s">
        <v>1</v>
      </c>
      <c r="F141" s="24"/>
      <c r="G141" s="24"/>
      <c r="H141" s="24" t="s">
        <v>244</v>
      </c>
      <c r="I141" s="32">
        <v>3000000</v>
      </c>
      <c r="J141" s="24" t="s">
        <v>268</v>
      </c>
      <c r="K141" s="24" t="s">
        <v>214</v>
      </c>
      <c r="L141" s="24"/>
      <c r="M141" s="24"/>
      <c r="N141" s="24" t="s">
        <v>201</v>
      </c>
    </row>
    <row r="142" spans="1:14" s="6" customFormat="1" ht="44.25" customHeight="1" x14ac:dyDescent="0.3">
      <c r="A142" s="55"/>
      <c r="B142" s="56"/>
      <c r="C142" s="57"/>
      <c r="D142" s="18" t="s">
        <v>276</v>
      </c>
      <c r="E142" s="19"/>
      <c r="F142" s="24"/>
      <c r="G142" s="24"/>
      <c r="H142" s="24"/>
      <c r="I142" s="32"/>
      <c r="J142" s="24"/>
      <c r="K142" s="24"/>
      <c r="L142" s="24"/>
      <c r="M142" s="24"/>
      <c r="N142" s="24"/>
    </row>
    <row r="143" spans="1:14" s="6" customFormat="1" ht="83.25" customHeight="1" x14ac:dyDescent="0.3">
      <c r="A143" s="50" t="s">
        <v>277</v>
      </c>
      <c r="B143" s="34" t="s">
        <v>196</v>
      </c>
      <c r="C143" s="54" t="s">
        <v>278</v>
      </c>
      <c r="D143" s="58" t="s">
        <v>279</v>
      </c>
      <c r="E143" s="19" t="s">
        <v>1</v>
      </c>
      <c r="F143" s="24"/>
      <c r="G143" s="24"/>
      <c r="H143" s="24" t="s">
        <v>244</v>
      </c>
      <c r="I143" s="32">
        <v>1000000</v>
      </c>
      <c r="J143" s="24" t="s">
        <v>213</v>
      </c>
      <c r="K143" s="24" t="s">
        <v>214</v>
      </c>
      <c r="L143" s="24"/>
      <c r="M143" s="24"/>
      <c r="N143" s="24" t="s">
        <v>201</v>
      </c>
    </row>
    <row r="144" spans="1:14" s="6" customFormat="1" ht="76.5" x14ac:dyDescent="0.3">
      <c r="A144" s="50"/>
      <c r="B144" s="34"/>
      <c r="C144" s="54"/>
      <c r="D144" s="58" t="s">
        <v>280</v>
      </c>
      <c r="E144" s="19"/>
      <c r="F144" s="24"/>
      <c r="G144" s="24"/>
      <c r="H144" s="24"/>
      <c r="I144" s="32"/>
      <c r="J144" s="24"/>
      <c r="K144" s="24"/>
      <c r="L144" s="24"/>
      <c r="M144" s="24"/>
      <c r="N144" s="24"/>
    </row>
    <row r="145" spans="1:14" s="6" customFormat="1" ht="55.5" customHeight="1" x14ac:dyDescent="0.3">
      <c r="A145" s="50"/>
      <c r="B145" s="34"/>
      <c r="C145" s="54"/>
      <c r="D145" s="58" t="s">
        <v>281</v>
      </c>
      <c r="E145" s="19"/>
      <c r="F145" s="24"/>
      <c r="G145" s="24"/>
      <c r="H145" s="24"/>
      <c r="I145" s="32"/>
      <c r="J145" s="24"/>
      <c r="K145" s="24"/>
      <c r="L145" s="24"/>
      <c r="M145" s="24"/>
      <c r="N145" s="24"/>
    </row>
    <row r="146" spans="1:14" s="6" customFormat="1" ht="41.25" customHeight="1" x14ac:dyDescent="0.3">
      <c r="A146" s="50"/>
      <c r="B146" s="34"/>
      <c r="C146" s="54"/>
      <c r="D146" s="58" t="s">
        <v>282</v>
      </c>
      <c r="E146" s="19"/>
      <c r="F146" s="24"/>
      <c r="G146" s="24"/>
      <c r="H146" s="24"/>
      <c r="I146" s="32"/>
      <c r="J146" s="24"/>
      <c r="K146" s="24"/>
      <c r="L146" s="24"/>
      <c r="M146" s="24"/>
      <c r="N146" s="24"/>
    </row>
    <row r="147" spans="1:14" s="6" customFormat="1" ht="30.75" customHeight="1" x14ac:dyDescent="0.3">
      <c r="A147" s="50" t="s">
        <v>283</v>
      </c>
      <c r="B147" s="34" t="s">
        <v>196</v>
      </c>
      <c r="C147" s="54" t="s">
        <v>284</v>
      </c>
      <c r="D147" s="58" t="s">
        <v>285</v>
      </c>
      <c r="E147" s="19" t="s">
        <v>1</v>
      </c>
      <c r="F147" s="24"/>
      <c r="G147" s="24"/>
      <c r="H147" s="24"/>
      <c r="I147" s="32">
        <v>400000</v>
      </c>
      <c r="J147" s="24"/>
      <c r="K147" s="24"/>
      <c r="L147" s="24"/>
      <c r="M147" s="24"/>
      <c r="N147" s="24" t="s">
        <v>234</v>
      </c>
    </row>
    <row r="148" spans="1:14" s="6" customFormat="1" ht="43.5" customHeight="1" x14ac:dyDescent="0.3">
      <c r="A148" s="50"/>
      <c r="B148" s="34"/>
      <c r="C148" s="54"/>
      <c r="D148" s="58" t="s">
        <v>276</v>
      </c>
      <c r="E148" s="19"/>
      <c r="F148" s="24"/>
      <c r="G148" s="24"/>
      <c r="H148" s="24"/>
      <c r="I148" s="32"/>
      <c r="J148" s="24"/>
      <c r="K148" s="24"/>
      <c r="L148" s="24"/>
      <c r="M148" s="24"/>
      <c r="N148" s="24"/>
    </row>
    <row r="149" spans="1:14" s="6" customFormat="1" ht="16.5" x14ac:dyDescent="0.3">
      <c r="A149" s="34" t="s">
        <v>286</v>
      </c>
      <c r="B149" s="34"/>
      <c r="C149" s="34"/>
      <c r="D149" s="34"/>
      <c r="E149" s="44"/>
      <c r="F149" s="45"/>
      <c r="G149" s="45"/>
      <c r="H149" s="45"/>
      <c r="I149" s="44"/>
      <c r="J149" s="44"/>
      <c r="K149" s="44"/>
      <c r="L149" s="45"/>
      <c r="M149" s="45"/>
      <c r="N149" s="45"/>
    </row>
    <row r="150" spans="1:14" s="6" customFormat="1" ht="42.75" customHeight="1" x14ac:dyDescent="0.3">
      <c r="A150" s="55" t="s">
        <v>287</v>
      </c>
      <c r="B150" s="56" t="s">
        <v>196</v>
      </c>
      <c r="C150" s="57" t="s">
        <v>288</v>
      </c>
      <c r="D150" s="37" t="s">
        <v>289</v>
      </c>
      <c r="E150" s="19" t="s">
        <v>1</v>
      </c>
      <c r="F150" s="24"/>
      <c r="G150" s="24"/>
      <c r="H150" s="24" t="s">
        <v>244</v>
      </c>
      <c r="I150" s="32">
        <v>300000</v>
      </c>
      <c r="J150" s="24" t="s">
        <v>213</v>
      </c>
      <c r="K150" s="24" t="s">
        <v>214</v>
      </c>
      <c r="L150" s="24"/>
      <c r="M150" s="24"/>
      <c r="N150" s="24" t="s">
        <v>201</v>
      </c>
    </row>
    <row r="151" spans="1:14" s="6" customFormat="1" ht="82.5" customHeight="1" x14ac:dyDescent="0.3">
      <c r="A151" s="55"/>
      <c r="B151" s="56"/>
      <c r="C151" s="57"/>
      <c r="D151" s="37" t="s">
        <v>290</v>
      </c>
      <c r="E151" s="19"/>
      <c r="F151" s="24"/>
      <c r="G151" s="24"/>
      <c r="H151" s="24"/>
      <c r="I151" s="32"/>
      <c r="J151" s="24"/>
      <c r="K151" s="24"/>
      <c r="L151" s="24"/>
      <c r="M151" s="24"/>
      <c r="N151" s="24"/>
    </row>
    <row r="152" spans="1:14" s="6" customFormat="1" ht="89.25" x14ac:dyDescent="0.3">
      <c r="A152" s="55"/>
      <c r="B152" s="56"/>
      <c r="C152" s="57"/>
      <c r="D152" s="37" t="s">
        <v>291</v>
      </c>
      <c r="E152" s="19"/>
      <c r="F152" s="24"/>
      <c r="G152" s="24"/>
      <c r="H152" s="24"/>
      <c r="I152" s="32"/>
      <c r="J152" s="24"/>
      <c r="K152" s="24"/>
      <c r="L152" s="24"/>
      <c r="M152" s="24"/>
      <c r="N152" s="24"/>
    </row>
    <row r="153" spans="1:14" s="6" customFormat="1" ht="51" x14ac:dyDescent="0.3">
      <c r="A153" s="38" t="s">
        <v>292</v>
      </c>
      <c r="B153" s="39" t="s">
        <v>196</v>
      </c>
      <c r="C153" s="18" t="s">
        <v>293</v>
      </c>
      <c r="D153" s="37" t="s">
        <v>294</v>
      </c>
      <c r="E153" s="25" t="s">
        <v>1</v>
      </c>
      <c r="F153" s="30"/>
      <c r="G153" s="30"/>
      <c r="H153" s="30" t="s">
        <v>244</v>
      </c>
      <c r="I153" s="53">
        <v>150000</v>
      </c>
      <c r="J153" s="30" t="s">
        <v>213</v>
      </c>
      <c r="K153" s="30" t="s">
        <v>214</v>
      </c>
      <c r="L153" s="30"/>
      <c r="M153" s="30"/>
      <c r="N153" s="30" t="s">
        <v>201</v>
      </c>
    </row>
    <row r="154" spans="1:14" s="6" customFormat="1" ht="38.25" x14ac:dyDescent="0.3">
      <c r="A154" s="38" t="s">
        <v>295</v>
      </c>
      <c r="B154" s="39" t="s">
        <v>196</v>
      </c>
      <c r="C154" s="18" t="s">
        <v>296</v>
      </c>
      <c r="D154" s="37" t="s">
        <v>297</v>
      </c>
      <c r="E154" s="25" t="s">
        <v>1</v>
      </c>
      <c r="F154" s="40"/>
      <c r="G154" s="41"/>
      <c r="H154" s="42" t="s">
        <v>244</v>
      </c>
      <c r="I154" s="29">
        <v>35000</v>
      </c>
      <c r="J154" s="28" t="s">
        <v>213</v>
      </c>
      <c r="K154" s="28" t="s">
        <v>214</v>
      </c>
      <c r="L154" s="40"/>
      <c r="M154" s="40"/>
      <c r="N154" s="30" t="s">
        <v>201</v>
      </c>
    </row>
    <row r="155" spans="1:14" s="6" customFormat="1" ht="95.25" customHeight="1" x14ac:dyDescent="0.3">
      <c r="A155" s="38" t="s">
        <v>298</v>
      </c>
      <c r="B155" s="39" t="s">
        <v>196</v>
      </c>
      <c r="C155" s="18" t="s">
        <v>299</v>
      </c>
      <c r="D155" s="37" t="s">
        <v>300</v>
      </c>
      <c r="E155" s="25" t="s">
        <v>1</v>
      </c>
      <c r="F155" s="40"/>
      <c r="G155" s="41"/>
      <c r="H155" s="42" t="s">
        <v>244</v>
      </c>
      <c r="I155" s="29">
        <v>7000000</v>
      </c>
      <c r="J155" s="28" t="s">
        <v>213</v>
      </c>
      <c r="K155" s="28" t="s">
        <v>214</v>
      </c>
      <c r="L155" s="40"/>
      <c r="M155" s="40"/>
      <c r="N155" s="30" t="s">
        <v>201</v>
      </c>
    </row>
    <row r="156" spans="1:14" s="6" customFormat="1" ht="63.75" x14ac:dyDescent="0.3">
      <c r="A156" s="38" t="s">
        <v>301</v>
      </c>
      <c r="B156" s="39" t="s">
        <v>196</v>
      </c>
      <c r="C156" s="18" t="s">
        <v>302</v>
      </c>
      <c r="D156" s="37" t="s">
        <v>303</v>
      </c>
      <c r="E156" s="25" t="s">
        <v>1</v>
      </c>
      <c r="F156" s="40"/>
      <c r="G156" s="41"/>
      <c r="H156" s="42" t="s">
        <v>244</v>
      </c>
      <c r="I156" s="29"/>
      <c r="J156" s="28" t="s">
        <v>213</v>
      </c>
      <c r="K156" s="28" t="s">
        <v>214</v>
      </c>
      <c r="L156" s="40"/>
      <c r="M156" s="40"/>
      <c r="N156" s="30" t="s">
        <v>201</v>
      </c>
    </row>
    <row r="157" spans="1:14" s="6" customFormat="1" ht="38.25" x14ac:dyDescent="0.3">
      <c r="A157" s="55" t="s">
        <v>304</v>
      </c>
      <c r="B157" s="59" t="s">
        <v>196</v>
      </c>
      <c r="C157" s="57" t="s">
        <v>305</v>
      </c>
      <c r="D157" s="37" t="s">
        <v>306</v>
      </c>
      <c r="E157" s="19" t="s">
        <v>1</v>
      </c>
      <c r="F157" s="20"/>
      <c r="G157" s="21"/>
      <c r="H157" s="22"/>
      <c r="I157" s="23">
        <v>2300000</v>
      </c>
      <c r="J157" s="22" t="s">
        <v>213</v>
      </c>
      <c r="K157" s="22" t="s">
        <v>214</v>
      </c>
      <c r="L157" s="20"/>
      <c r="M157" s="20"/>
      <c r="N157" s="24" t="s">
        <v>234</v>
      </c>
    </row>
    <row r="158" spans="1:14" s="6" customFormat="1" ht="56.25" customHeight="1" x14ac:dyDescent="0.3">
      <c r="A158" s="55"/>
      <c r="B158" s="59"/>
      <c r="C158" s="57"/>
      <c r="D158" s="37" t="s">
        <v>307</v>
      </c>
      <c r="E158" s="19"/>
      <c r="F158" s="20"/>
      <c r="G158" s="21"/>
      <c r="H158" s="22"/>
      <c r="I158" s="23"/>
      <c r="J158" s="22"/>
      <c r="K158" s="22"/>
      <c r="L158" s="20"/>
      <c r="M158" s="20"/>
      <c r="N158" s="24"/>
    </row>
    <row r="159" spans="1:14" s="6" customFormat="1" ht="16.5" x14ac:dyDescent="0.3">
      <c r="A159" s="466" t="s">
        <v>308</v>
      </c>
      <c r="B159" s="467"/>
      <c r="C159" s="467"/>
      <c r="D159" s="468"/>
      <c r="E159" s="60"/>
      <c r="F159" s="61"/>
      <c r="G159" s="61"/>
      <c r="H159" s="61"/>
      <c r="I159" s="60"/>
      <c r="J159" s="60"/>
      <c r="K159" s="60"/>
      <c r="L159" s="61"/>
      <c r="M159" s="61"/>
      <c r="N159" s="61"/>
    </row>
    <row r="160" spans="1:14" s="6" customFormat="1" ht="57.75" customHeight="1" x14ac:dyDescent="0.3">
      <c r="A160" s="55" t="s">
        <v>309</v>
      </c>
      <c r="B160" s="56" t="s">
        <v>196</v>
      </c>
      <c r="C160" s="57" t="s">
        <v>310</v>
      </c>
      <c r="D160" s="18" t="s">
        <v>311</v>
      </c>
      <c r="E160" s="19" t="s">
        <v>1</v>
      </c>
      <c r="F160" s="24"/>
      <c r="G160" s="24"/>
      <c r="H160" s="24" t="s">
        <v>244</v>
      </c>
      <c r="I160" s="32">
        <v>1200000</v>
      </c>
      <c r="J160" s="24" t="s">
        <v>213</v>
      </c>
      <c r="K160" s="24" t="s">
        <v>262</v>
      </c>
      <c r="L160" s="24"/>
      <c r="M160" s="24"/>
      <c r="N160" s="24" t="s">
        <v>234</v>
      </c>
    </row>
    <row r="161" spans="1:18" s="6" customFormat="1" ht="51" x14ac:dyDescent="0.3">
      <c r="A161" s="55"/>
      <c r="B161" s="56"/>
      <c r="C161" s="57"/>
      <c r="D161" s="18" t="s">
        <v>312</v>
      </c>
      <c r="E161" s="19"/>
      <c r="F161" s="24"/>
      <c r="G161" s="24"/>
      <c r="H161" s="24"/>
      <c r="I161" s="32"/>
      <c r="J161" s="24"/>
      <c r="K161" s="24"/>
      <c r="L161" s="24"/>
      <c r="M161" s="24"/>
      <c r="N161" s="24"/>
    </row>
    <row r="162" spans="1:18" s="6" customFormat="1" ht="51" x14ac:dyDescent="0.3">
      <c r="A162" s="55"/>
      <c r="B162" s="56"/>
      <c r="C162" s="57"/>
      <c r="D162" s="18" t="s">
        <v>313</v>
      </c>
      <c r="E162" s="19"/>
      <c r="F162" s="24"/>
      <c r="G162" s="24"/>
      <c r="H162" s="24"/>
      <c r="I162" s="32"/>
      <c r="J162" s="24"/>
      <c r="K162" s="24"/>
      <c r="L162" s="24"/>
      <c r="M162" s="24"/>
      <c r="N162" s="24"/>
    </row>
    <row r="163" spans="1:18" s="6" customFormat="1" ht="63.75" x14ac:dyDescent="0.3">
      <c r="A163" s="55"/>
      <c r="B163" s="56"/>
      <c r="C163" s="57"/>
      <c r="D163" s="18" t="s">
        <v>314</v>
      </c>
      <c r="E163" s="19"/>
      <c r="F163" s="24"/>
      <c r="G163" s="24"/>
      <c r="H163" s="24"/>
      <c r="I163" s="32"/>
      <c r="J163" s="24"/>
      <c r="K163" s="24"/>
      <c r="L163" s="24"/>
      <c r="M163" s="24"/>
      <c r="N163" s="24"/>
    </row>
    <row r="164" spans="1:18" s="6" customFormat="1" ht="28.5" customHeight="1" x14ac:dyDescent="0.3">
      <c r="A164" s="55"/>
      <c r="B164" s="56"/>
      <c r="C164" s="57"/>
      <c r="D164" s="18" t="s">
        <v>315</v>
      </c>
      <c r="E164" s="19"/>
      <c r="F164" s="24"/>
      <c r="G164" s="24"/>
      <c r="H164" s="24"/>
      <c r="I164" s="32"/>
      <c r="J164" s="24"/>
      <c r="K164" s="24"/>
      <c r="L164" s="24"/>
      <c r="M164" s="24"/>
      <c r="N164" s="24"/>
    </row>
    <row r="165" spans="1:18" s="6" customFormat="1" ht="54.75" customHeight="1" x14ac:dyDescent="0.3">
      <c r="A165" s="55"/>
      <c r="B165" s="56"/>
      <c r="C165" s="57"/>
      <c r="D165" s="18" t="s">
        <v>316</v>
      </c>
      <c r="E165" s="19"/>
      <c r="F165" s="24"/>
      <c r="G165" s="24"/>
      <c r="H165" s="24"/>
      <c r="I165" s="32"/>
      <c r="J165" s="24"/>
      <c r="K165" s="24"/>
      <c r="L165" s="24"/>
      <c r="M165" s="24"/>
      <c r="N165" s="24"/>
    </row>
    <row r="166" spans="1:18" s="6" customFormat="1" ht="28.5" customHeight="1" x14ac:dyDescent="0.3">
      <c r="A166" s="55"/>
      <c r="B166" s="56"/>
      <c r="C166" s="57"/>
      <c r="D166" s="18" t="s">
        <v>317</v>
      </c>
      <c r="E166" s="19"/>
      <c r="F166" s="24"/>
      <c r="G166" s="24"/>
      <c r="H166" s="24"/>
      <c r="I166" s="32"/>
      <c r="J166" s="24"/>
      <c r="K166" s="24"/>
      <c r="L166" s="24"/>
      <c r="M166" s="24"/>
      <c r="N166" s="24"/>
    </row>
    <row r="167" spans="1:18" s="6" customFormat="1" ht="16.5" x14ac:dyDescent="0.3">
      <c r="A167" s="62" t="s">
        <v>318</v>
      </c>
      <c r="B167" s="62"/>
      <c r="C167" s="62"/>
      <c r="D167" s="62"/>
      <c r="E167" s="25"/>
      <c r="F167" s="40"/>
      <c r="G167" s="41"/>
      <c r="H167" s="42"/>
      <c r="I167" s="63">
        <f>SUM(I99:I166)</f>
        <v>43405000</v>
      </c>
      <c r="J167" s="28"/>
      <c r="K167" s="28"/>
      <c r="L167" s="40"/>
      <c r="M167" s="40"/>
      <c r="N167" s="43"/>
    </row>
    <row r="168" spans="1:18" s="6" customFormat="1" ht="30" customHeight="1" x14ac:dyDescent="0.3">
      <c r="A168" s="16" t="s">
        <v>335</v>
      </c>
      <c r="B168" s="16"/>
      <c r="C168" s="16"/>
      <c r="D168" s="16"/>
      <c r="E168" s="16"/>
      <c r="F168" s="16"/>
      <c r="G168" s="16"/>
      <c r="H168" s="16"/>
      <c r="I168" s="16"/>
      <c r="J168" s="16"/>
      <c r="K168" s="16"/>
      <c r="L168" s="16"/>
      <c r="M168" s="16"/>
      <c r="N168" s="17"/>
      <c r="O168" s="9"/>
      <c r="P168" s="9"/>
      <c r="Q168" s="9"/>
      <c r="R168" s="8"/>
    </row>
    <row r="169" spans="1:18" s="6" customFormat="1" ht="40.5" customHeight="1" x14ac:dyDescent="0.3">
      <c r="A169" s="64" t="s">
        <v>319</v>
      </c>
      <c r="B169" s="65" t="s">
        <v>320</v>
      </c>
      <c r="C169" s="66" t="s">
        <v>321</v>
      </c>
      <c r="D169" s="67" t="s">
        <v>322</v>
      </c>
      <c r="E169" s="68"/>
      <c r="F169" s="69"/>
      <c r="G169" s="70"/>
      <c r="H169" s="71" t="s">
        <v>323</v>
      </c>
      <c r="I169" s="72">
        <v>23000000</v>
      </c>
      <c r="J169" s="73">
        <v>46023</v>
      </c>
      <c r="K169" s="73">
        <v>46387</v>
      </c>
      <c r="L169" s="74"/>
      <c r="M169" s="74"/>
      <c r="N169" s="75" t="s">
        <v>324</v>
      </c>
    </row>
    <row r="170" spans="1:18" s="6" customFormat="1" ht="180.75" customHeight="1" x14ac:dyDescent="0.3">
      <c r="A170" s="76"/>
      <c r="B170" s="77"/>
      <c r="C170" s="78"/>
      <c r="D170" s="67" t="s">
        <v>325</v>
      </c>
      <c r="E170" s="79"/>
      <c r="F170" s="69"/>
      <c r="G170" s="70"/>
      <c r="H170" s="80"/>
      <c r="I170" s="81"/>
      <c r="J170" s="73">
        <v>46023</v>
      </c>
      <c r="K170" s="73">
        <v>46387</v>
      </c>
      <c r="L170" s="74" t="s">
        <v>326</v>
      </c>
      <c r="M170" s="74"/>
      <c r="N170" s="75" t="s">
        <v>327</v>
      </c>
    </row>
    <row r="171" spans="1:18" s="6" customFormat="1" ht="52.5" customHeight="1" x14ac:dyDescent="0.3">
      <c r="A171" s="82" t="s">
        <v>328</v>
      </c>
      <c r="B171" s="83" t="s">
        <v>320</v>
      </c>
      <c r="C171" s="84" t="s">
        <v>328</v>
      </c>
      <c r="D171" s="85" t="s">
        <v>329</v>
      </c>
      <c r="E171" s="86"/>
      <c r="F171" s="87"/>
      <c r="G171" s="88"/>
      <c r="H171" s="89" t="s">
        <v>323</v>
      </c>
      <c r="I171" s="90">
        <v>1000000</v>
      </c>
      <c r="J171" s="91">
        <v>46023</v>
      </c>
      <c r="K171" s="91">
        <v>46387</v>
      </c>
      <c r="L171" s="92"/>
      <c r="M171" s="92"/>
      <c r="N171" s="93" t="s">
        <v>324</v>
      </c>
    </row>
    <row r="172" spans="1:18" s="6" customFormat="1" ht="165.75" x14ac:dyDescent="0.3">
      <c r="A172" s="94" t="s">
        <v>330</v>
      </c>
      <c r="B172" s="69" t="s">
        <v>320</v>
      </c>
      <c r="C172" s="95" t="s">
        <v>331</v>
      </c>
      <c r="D172" s="67" t="s">
        <v>332</v>
      </c>
      <c r="E172" s="69"/>
      <c r="F172" s="69"/>
      <c r="G172" s="69"/>
      <c r="H172" s="69" t="s">
        <v>323</v>
      </c>
      <c r="I172" s="96">
        <v>500000</v>
      </c>
      <c r="J172" s="97">
        <v>46023</v>
      </c>
      <c r="K172" s="97">
        <v>46387</v>
      </c>
      <c r="L172" s="67" t="s">
        <v>333</v>
      </c>
      <c r="M172" s="98">
        <v>35000</v>
      </c>
      <c r="N172" s="95" t="s">
        <v>334</v>
      </c>
    </row>
    <row r="173" spans="1:18" s="6" customFormat="1" ht="30" customHeight="1" x14ac:dyDescent="0.3">
      <c r="A173" s="16" t="s">
        <v>389</v>
      </c>
      <c r="B173" s="16"/>
      <c r="C173" s="16"/>
      <c r="D173" s="16"/>
      <c r="E173" s="16"/>
      <c r="F173" s="16"/>
      <c r="G173" s="16"/>
      <c r="H173" s="16"/>
      <c r="I173" s="16"/>
      <c r="J173" s="16"/>
      <c r="K173" s="16"/>
      <c r="L173" s="16"/>
      <c r="M173" s="16"/>
      <c r="N173" s="17"/>
    </row>
    <row r="174" spans="1:18" s="6" customFormat="1" ht="16.5" x14ac:dyDescent="0.3">
      <c r="A174" s="99" t="s">
        <v>336</v>
      </c>
      <c r="B174" s="100"/>
      <c r="C174" s="100"/>
      <c r="D174" s="100"/>
      <c r="E174" s="101"/>
      <c r="F174" s="100"/>
      <c r="G174" s="101"/>
      <c r="H174" s="101"/>
      <c r="I174" s="101"/>
      <c r="J174" s="102"/>
      <c r="K174" s="102"/>
      <c r="L174" s="102"/>
      <c r="M174" s="102"/>
      <c r="N174" s="101"/>
    </row>
    <row r="175" spans="1:18" s="6" customFormat="1" ht="16.5" x14ac:dyDescent="0.3">
      <c r="A175" s="103" t="s">
        <v>337</v>
      </c>
      <c r="B175" s="104" t="s">
        <v>338</v>
      </c>
      <c r="C175" s="105" t="s">
        <v>339</v>
      </c>
      <c r="D175" s="106" t="s">
        <v>340</v>
      </c>
      <c r="E175" s="107" t="s">
        <v>341</v>
      </c>
      <c r="F175" s="108"/>
      <c r="G175" s="109" t="s">
        <v>342</v>
      </c>
      <c r="H175" s="110" t="s">
        <v>244</v>
      </c>
      <c r="I175" s="111">
        <v>624000</v>
      </c>
      <c r="J175" s="112" t="s">
        <v>343</v>
      </c>
      <c r="K175" s="112" t="s">
        <v>344</v>
      </c>
      <c r="L175" s="112"/>
      <c r="M175" s="112"/>
      <c r="N175" s="113"/>
    </row>
    <row r="176" spans="1:18" s="6" customFormat="1" ht="36" customHeight="1" x14ac:dyDescent="0.3">
      <c r="A176" s="114"/>
      <c r="B176" s="115"/>
      <c r="C176" s="116"/>
      <c r="D176" s="106"/>
      <c r="E176" s="117"/>
      <c r="F176" s="108"/>
      <c r="G176" s="118"/>
      <c r="H176" s="119"/>
      <c r="I176" s="120"/>
      <c r="J176" s="121"/>
      <c r="K176" s="121"/>
      <c r="L176" s="121"/>
      <c r="M176" s="121"/>
      <c r="N176" s="122"/>
    </row>
    <row r="177" spans="1:14" s="6" customFormat="1" ht="31.5" customHeight="1" x14ac:dyDescent="0.3">
      <c r="A177" s="114"/>
      <c r="B177" s="115"/>
      <c r="C177" s="116"/>
      <c r="D177" s="123" t="s">
        <v>345</v>
      </c>
      <c r="E177" s="124" t="s">
        <v>346</v>
      </c>
      <c r="F177" s="125"/>
      <c r="G177" s="126" t="s">
        <v>342</v>
      </c>
      <c r="H177" s="127" t="s">
        <v>244</v>
      </c>
      <c r="I177" s="128">
        <v>104000</v>
      </c>
      <c r="J177" s="129" t="s">
        <v>347</v>
      </c>
      <c r="K177" s="129"/>
      <c r="L177" s="129"/>
      <c r="M177" s="129"/>
      <c r="N177" s="130"/>
    </row>
    <row r="178" spans="1:14" s="6" customFormat="1" ht="25.5" x14ac:dyDescent="0.3">
      <c r="A178" s="114"/>
      <c r="B178" s="115"/>
      <c r="C178" s="116"/>
      <c r="D178" s="123" t="s">
        <v>348</v>
      </c>
      <c r="E178" s="124" t="s">
        <v>341</v>
      </c>
      <c r="F178" s="125"/>
      <c r="G178" s="126" t="s">
        <v>342</v>
      </c>
      <c r="H178" s="127" t="s">
        <v>244</v>
      </c>
      <c r="I178" s="128">
        <v>208000</v>
      </c>
      <c r="J178" s="129" t="s">
        <v>349</v>
      </c>
      <c r="K178" s="129"/>
      <c r="L178" s="129"/>
      <c r="M178" s="129"/>
      <c r="N178" s="130"/>
    </row>
    <row r="179" spans="1:14" s="6" customFormat="1" ht="53.25" customHeight="1" x14ac:dyDescent="0.3">
      <c r="A179" s="114"/>
      <c r="B179" s="115"/>
      <c r="C179" s="116"/>
      <c r="D179" s="123" t="s">
        <v>350</v>
      </c>
      <c r="E179" s="124" t="s">
        <v>346</v>
      </c>
      <c r="F179" s="125"/>
      <c r="G179" s="126" t="s">
        <v>342</v>
      </c>
      <c r="H179" s="127" t="s">
        <v>244</v>
      </c>
      <c r="I179" s="128">
        <v>85000</v>
      </c>
      <c r="J179" s="129" t="s">
        <v>349</v>
      </c>
      <c r="K179" s="129"/>
      <c r="L179" s="129"/>
      <c r="M179" s="129"/>
      <c r="N179" s="130"/>
    </row>
    <row r="180" spans="1:14" s="6" customFormat="1" ht="38.25" x14ac:dyDescent="0.3">
      <c r="A180" s="114"/>
      <c r="B180" s="115"/>
      <c r="C180" s="116"/>
      <c r="D180" s="123" t="s">
        <v>351</v>
      </c>
      <c r="E180" s="124" t="s">
        <v>346</v>
      </c>
      <c r="F180" s="125"/>
      <c r="G180" s="126" t="s">
        <v>342</v>
      </c>
      <c r="H180" s="127" t="s">
        <v>244</v>
      </c>
      <c r="I180" s="128">
        <v>187000</v>
      </c>
      <c r="J180" s="129" t="s">
        <v>343</v>
      </c>
      <c r="K180" s="129" t="s">
        <v>352</v>
      </c>
      <c r="L180" s="129"/>
      <c r="M180" s="129"/>
      <c r="N180" s="130"/>
    </row>
    <row r="181" spans="1:14" s="6" customFormat="1" ht="51" x14ac:dyDescent="0.3">
      <c r="A181" s="114"/>
      <c r="B181" s="115"/>
      <c r="C181" s="116"/>
      <c r="D181" s="123" t="s">
        <v>353</v>
      </c>
      <c r="E181" s="124" t="s">
        <v>346</v>
      </c>
      <c r="F181" s="125"/>
      <c r="G181" s="126" t="s">
        <v>342</v>
      </c>
      <c r="H181" s="127" t="s">
        <v>244</v>
      </c>
      <c r="I181" s="128">
        <v>187000</v>
      </c>
      <c r="J181" s="129" t="s">
        <v>343</v>
      </c>
      <c r="K181" s="129" t="s">
        <v>352</v>
      </c>
      <c r="L181" s="129"/>
      <c r="M181" s="129"/>
      <c r="N181" s="130"/>
    </row>
    <row r="182" spans="1:14" s="6" customFormat="1" ht="29.25" customHeight="1" x14ac:dyDescent="0.3">
      <c r="A182" s="114"/>
      <c r="B182" s="115"/>
      <c r="C182" s="116"/>
      <c r="D182" s="123" t="s">
        <v>354</v>
      </c>
      <c r="E182" s="124" t="s">
        <v>346</v>
      </c>
      <c r="F182" s="125"/>
      <c r="G182" s="126" t="s">
        <v>342</v>
      </c>
      <c r="H182" s="127" t="s">
        <v>244</v>
      </c>
      <c r="I182" s="128">
        <v>554000</v>
      </c>
      <c r="J182" s="129" t="s">
        <v>349</v>
      </c>
      <c r="K182" s="129"/>
      <c r="L182" s="129"/>
      <c r="M182" s="129"/>
      <c r="N182" s="130"/>
    </row>
    <row r="183" spans="1:14" s="6" customFormat="1" ht="30.75" customHeight="1" x14ac:dyDescent="0.3">
      <c r="A183" s="114"/>
      <c r="B183" s="115"/>
      <c r="C183" s="116"/>
      <c r="D183" s="131" t="s">
        <v>355</v>
      </c>
      <c r="E183" s="132" t="s">
        <v>341</v>
      </c>
      <c r="F183" s="133"/>
      <c r="G183" s="134" t="s">
        <v>342</v>
      </c>
      <c r="H183" s="135" t="s">
        <v>356</v>
      </c>
      <c r="I183" s="136">
        <v>34000</v>
      </c>
      <c r="J183" s="137" t="s">
        <v>357</v>
      </c>
      <c r="K183" s="137"/>
      <c r="L183" s="137"/>
      <c r="M183" s="137"/>
      <c r="N183" s="138"/>
    </row>
    <row r="184" spans="1:14" s="6" customFormat="1" ht="25.5" x14ac:dyDescent="0.3">
      <c r="A184" s="139"/>
      <c r="B184" s="140"/>
      <c r="C184" s="141"/>
      <c r="D184" s="123" t="s">
        <v>358</v>
      </c>
      <c r="E184" s="142" t="s">
        <v>341</v>
      </c>
      <c r="F184" s="125"/>
      <c r="G184" s="142" t="s">
        <v>342</v>
      </c>
      <c r="H184" s="142" t="s">
        <v>244</v>
      </c>
      <c r="I184" s="143">
        <v>51000</v>
      </c>
      <c r="J184" s="144" t="s">
        <v>359</v>
      </c>
      <c r="K184" s="144"/>
      <c r="L184" s="144"/>
      <c r="M184" s="144"/>
      <c r="N184" s="145"/>
    </row>
    <row r="185" spans="1:14" s="6" customFormat="1" ht="63.75" x14ac:dyDescent="0.3">
      <c r="A185" s="103"/>
      <c r="B185" s="104"/>
      <c r="C185" s="105"/>
      <c r="D185" s="123" t="s">
        <v>360</v>
      </c>
      <c r="E185" s="142" t="s">
        <v>341</v>
      </c>
      <c r="F185" s="125"/>
      <c r="G185" s="142" t="s">
        <v>342</v>
      </c>
      <c r="H185" s="142" t="s">
        <v>244</v>
      </c>
      <c r="I185" s="143">
        <v>170000</v>
      </c>
      <c r="J185" s="144" t="s">
        <v>361</v>
      </c>
      <c r="K185" s="144" t="s">
        <v>362</v>
      </c>
      <c r="L185" s="144"/>
      <c r="M185" s="144"/>
      <c r="N185" s="145"/>
    </row>
    <row r="186" spans="1:14" s="6" customFormat="1" ht="38.25" x14ac:dyDescent="0.3">
      <c r="A186" s="114"/>
      <c r="B186" s="115"/>
      <c r="C186" s="116"/>
      <c r="D186" s="146" t="s">
        <v>363</v>
      </c>
      <c r="E186" s="147" t="s">
        <v>341</v>
      </c>
      <c r="F186" s="148"/>
      <c r="G186" s="127" t="s">
        <v>342</v>
      </c>
      <c r="H186" s="127" t="s">
        <v>244</v>
      </c>
      <c r="I186" s="149">
        <v>104000</v>
      </c>
      <c r="J186" s="129" t="s">
        <v>364</v>
      </c>
      <c r="K186" s="129" t="s">
        <v>365</v>
      </c>
      <c r="L186" s="129"/>
      <c r="M186" s="129"/>
      <c r="N186" s="150"/>
    </row>
    <row r="187" spans="1:14" s="6" customFormat="1" ht="43.5" customHeight="1" x14ac:dyDescent="0.3">
      <c r="A187" s="114"/>
      <c r="B187" s="115"/>
      <c r="C187" s="116"/>
      <c r="D187" s="123" t="s">
        <v>366</v>
      </c>
      <c r="E187" s="147" t="s">
        <v>341</v>
      </c>
      <c r="F187" s="148"/>
      <c r="G187" s="127" t="s">
        <v>342</v>
      </c>
      <c r="H187" s="127" t="s">
        <v>244</v>
      </c>
      <c r="I187" s="149">
        <v>208000</v>
      </c>
      <c r="J187" s="151" t="s">
        <v>364</v>
      </c>
      <c r="K187" s="151" t="s">
        <v>365</v>
      </c>
      <c r="L187" s="151"/>
      <c r="M187" s="151"/>
      <c r="N187" s="150"/>
    </row>
    <row r="188" spans="1:14" s="6" customFormat="1" ht="44.25" customHeight="1" x14ac:dyDescent="0.3">
      <c r="A188" s="139"/>
      <c r="B188" s="140"/>
      <c r="C188" s="141"/>
      <c r="D188" s="123" t="s">
        <v>367</v>
      </c>
      <c r="E188" s="147" t="s">
        <v>341</v>
      </c>
      <c r="F188" s="148"/>
      <c r="G188" s="127" t="s">
        <v>342</v>
      </c>
      <c r="H188" s="127" t="s">
        <v>244</v>
      </c>
      <c r="I188" s="149">
        <v>34000</v>
      </c>
      <c r="J188" s="151" t="s">
        <v>361</v>
      </c>
      <c r="K188" s="151"/>
      <c r="L188" s="151"/>
      <c r="M188" s="151"/>
      <c r="N188" s="150"/>
    </row>
    <row r="189" spans="1:14" s="6" customFormat="1" ht="42.75" customHeight="1" x14ac:dyDescent="0.3">
      <c r="A189" s="152" t="s">
        <v>368</v>
      </c>
      <c r="B189" s="104" t="s">
        <v>338</v>
      </c>
      <c r="C189" s="153" t="s">
        <v>369</v>
      </c>
      <c r="D189" s="11" t="s">
        <v>370</v>
      </c>
      <c r="E189" s="142" t="s">
        <v>341</v>
      </c>
      <c r="F189" s="148"/>
      <c r="G189" s="127" t="s">
        <v>342</v>
      </c>
      <c r="H189" s="127" t="s">
        <v>244</v>
      </c>
      <c r="I189" s="149">
        <v>135000</v>
      </c>
      <c r="J189" s="151" t="s">
        <v>371</v>
      </c>
      <c r="K189" s="151" t="s">
        <v>352</v>
      </c>
      <c r="L189" s="151"/>
      <c r="M189" s="151"/>
      <c r="N189" s="150"/>
    </row>
    <row r="190" spans="1:14" s="6" customFormat="1" ht="31.5" customHeight="1" x14ac:dyDescent="0.3">
      <c r="A190" s="154"/>
      <c r="B190" s="115"/>
      <c r="C190" s="155"/>
      <c r="D190" s="11" t="s">
        <v>372</v>
      </c>
      <c r="E190" s="142" t="s">
        <v>341</v>
      </c>
      <c r="F190" s="148"/>
      <c r="G190" s="127" t="s">
        <v>342</v>
      </c>
      <c r="H190" s="127" t="s">
        <v>244</v>
      </c>
      <c r="I190" s="149">
        <v>216000</v>
      </c>
      <c r="J190" s="151" t="s">
        <v>364</v>
      </c>
      <c r="K190" s="151" t="s">
        <v>365</v>
      </c>
      <c r="L190" s="151"/>
      <c r="M190" s="151"/>
      <c r="N190" s="150"/>
    </row>
    <row r="191" spans="1:14" s="6" customFormat="1" ht="33.75" customHeight="1" x14ac:dyDescent="0.3">
      <c r="A191" s="154"/>
      <c r="B191" s="115"/>
      <c r="C191" s="155"/>
      <c r="D191" s="123" t="s">
        <v>373</v>
      </c>
      <c r="E191" s="142" t="s">
        <v>341</v>
      </c>
      <c r="F191" s="148"/>
      <c r="G191" s="127" t="s">
        <v>342</v>
      </c>
      <c r="H191" s="127" t="s">
        <v>244</v>
      </c>
      <c r="I191" s="149">
        <v>135000</v>
      </c>
      <c r="J191" s="151" t="s">
        <v>343</v>
      </c>
      <c r="K191" s="151" t="s">
        <v>374</v>
      </c>
      <c r="L191" s="151"/>
      <c r="M191" s="151"/>
      <c r="N191" s="150"/>
    </row>
    <row r="192" spans="1:14" s="6" customFormat="1" ht="42.75" customHeight="1" x14ac:dyDescent="0.3">
      <c r="A192" s="156" t="s">
        <v>375</v>
      </c>
      <c r="B192" s="157" t="s">
        <v>338</v>
      </c>
      <c r="C192" s="158" t="s">
        <v>376</v>
      </c>
      <c r="D192" s="123" t="s">
        <v>377</v>
      </c>
      <c r="E192" s="126" t="s">
        <v>341</v>
      </c>
      <c r="F192" s="101"/>
      <c r="G192" s="127"/>
      <c r="H192" s="127" t="s">
        <v>244</v>
      </c>
      <c r="I192" s="149">
        <v>6000000</v>
      </c>
      <c r="J192" s="151" t="s">
        <v>364</v>
      </c>
      <c r="K192" s="151" t="s">
        <v>365</v>
      </c>
      <c r="L192" s="151"/>
      <c r="M192" s="151"/>
      <c r="N192" s="150"/>
    </row>
    <row r="193" spans="1:14" s="6" customFormat="1" ht="16.5" x14ac:dyDescent="0.3">
      <c r="A193" s="159" t="s">
        <v>378</v>
      </c>
      <c r="B193" s="160" t="s">
        <v>338</v>
      </c>
      <c r="C193" s="153" t="s">
        <v>379</v>
      </c>
      <c r="D193" s="105" t="s">
        <v>380</v>
      </c>
      <c r="E193" s="161" t="s">
        <v>341</v>
      </c>
      <c r="F193" s="162"/>
      <c r="G193" s="110"/>
      <c r="H193" s="110" t="s">
        <v>381</v>
      </c>
      <c r="I193" s="163">
        <v>6000000</v>
      </c>
      <c r="J193" s="112" t="s">
        <v>364</v>
      </c>
      <c r="K193" s="112" t="s">
        <v>365</v>
      </c>
      <c r="L193" s="112"/>
      <c r="M193" s="164"/>
      <c r="N193" s="165"/>
    </row>
    <row r="194" spans="1:14" s="6" customFormat="1" ht="16.5" x14ac:dyDescent="0.3">
      <c r="A194" s="166"/>
      <c r="B194" s="167"/>
      <c r="C194" s="168"/>
      <c r="D194" s="141"/>
      <c r="E194" s="161"/>
      <c r="F194" s="169"/>
      <c r="G194" s="170"/>
      <c r="H194" s="119"/>
      <c r="I194" s="171"/>
      <c r="J194" s="121"/>
      <c r="K194" s="121"/>
      <c r="L194" s="121"/>
      <c r="M194" s="172"/>
      <c r="N194" s="173"/>
    </row>
    <row r="195" spans="1:14" s="6" customFormat="1" ht="16.5" x14ac:dyDescent="0.3">
      <c r="A195" s="159" t="s">
        <v>382</v>
      </c>
      <c r="B195" s="160" t="s">
        <v>338</v>
      </c>
      <c r="C195" s="153" t="s">
        <v>383</v>
      </c>
      <c r="D195" s="105" t="s">
        <v>384</v>
      </c>
      <c r="E195" s="161" t="s">
        <v>341</v>
      </c>
      <c r="F195" s="162"/>
      <c r="G195" s="110"/>
      <c r="H195" s="110" t="s">
        <v>381</v>
      </c>
      <c r="I195" s="163">
        <v>2000000</v>
      </c>
      <c r="J195" s="112" t="s">
        <v>364</v>
      </c>
      <c r="K195" s="112" t="s">
        <v>365</v>
      </c>
      <c r="L195" s="112"/>
      <c r="M195" s="164"/>
      <c r="N195" s="165"/>
    </row>
    <row r="196" spans="1:14" s="6" customFormat="1" ht="23.25" customHeight="1" x14ac:dyDescent="0.3">
      <c r="A196" s="166"/>
      <c r="B196" s="167"/>
      <c r="C196" s="168"/>
      <c r="D196" s="141"/>
      <c r="E196" s="161"/>
      <c r="F196" s="169"/>
      <c r="G196" s="170"/>
      <c r="H196" s="119"/>
      <c r="I196" s="171"/>
      <c r="J196" s="121"/>
      <c r="K196" s="121"/>
      <c r="L196" s="121"/>
      <c r="M196" s="172"/>
      <c r="N196" s="173"/>
    </row>
    <row r="197" spans="1:14" s="6" customFormat="1" ht="16.5" x14ac:dyDescent="0.3">
      <c r="A197" s="159" t="s">
        <v>385</v>
      </c>
      <c r="B197" s="160" t="s">
        <v>338</v>
      </c>
      <c r="C197" s="153" t="s">
        <v>386</v>
      </c>
      <c r="D197" s="105" t="s">
        <v>387</v>
      </c>
      <c r="E197" s="161" t="s">
        <v>341</v>
      </c>
      <c r="F197" s="162"/>
      <c r="G197" s="110" t="s">
        <v>388</v>
      </c>
      <c r="H197" s="110" t="s">
        <v>381</v>
      </c>
      <c r="I197" s="163">
        <v>2100000</v>
      </c>
      <c r="J197" s="112" t="s">
        <v>364</v>
      </c>
      <c r="K197" s="112" t="s">
        <v>365</v>
      </c>
      <c r="L197" s="112"/>
      <c r="M197" s="164"/>
      <c r="N197" s="165"/>
    </row>
    <row r="198" spans="1:14" s="6" customFormat="1" ht="30" customHeight="1" x14ac:dyDescent="0.3">
      <c r="A198" s="166"/>
      <c r="B198" s="167"/>
      <c r="C198" s="168"/>
      <c r="D198" s="141"/>
      <c r="E198" s="161"/>
      <c r="F198" s="169"/>
      <c r="G198" s="170"/>
      <c r="H198" s="119"/>
      <c r="I198" s="171"/>
      <c r="J198" s="121"/>
      <c r="K198" s="121"/>
      <c r="L198" s="121"/>
      <c r="M198" s="172"/>
      <c r="N198" s="173"/>
    </row>
    <row r="199" spans="1:14" s="6" customFormat="1" ht="30" customHeight="1" x14ac:dyDescent="0.3">
      <c r="A199" s="16" t="s">
        <v>588</v>
      </c>
      <c r="B199" s="16"/>
      <c r="C199" s="16"/>
      <c r="D199" s="16"/>
      <c r="E199" s="16"/>
      <c r="F199" s="16"/>
      <c r="G199" s="16"/>
      <c r="H199" s="16"/>
      <c r="I199" s="16"/>
      <c r="J199" s="16"/>
      <c r="K199" s="16"/>
      <c r="L199" s="16"/>
      <c r="M199" s="16"/>
      <c r="N199" s="17"/>
    </row>
    <row r="200" spans="1:14" s="6" customFormat="1" ht="16.5" x14ac:dyDescent="0.3">
      <c r="A200" s="174" t="s">
        <v>390</v>
      </c>
      <c r="B200" s="174"/>
      <c r="C200" s="175"/>
      <c r="D200" s="176"/>
      <c r="E200" s="177"/>
      <c r="F200" s="177"/>
      <c r="G200" s="178"/>
      <c r="H200" s="178"/>
      <c r="I200" s="178"/>
      <c r="J200" s="178"/>
      <c r="K200" s="178"/>
      <c r="L200" s="179"/>
      <c r="M200" s="180"/>
      <c r="N200" s="178"/>
    </row>
    <row r="201" spans="1:14" s="6" customFormat="1" ht="38.25" x14ac:dyDescent="0.3">
      <c r="A201" s="175" t="s">
        <v>391</v>
      </c>
      <c r="B201" s="144" t="s">
        <v>392</v>
      </c>
      <c r="C201" s="181" t="s">
        <v>393</v>
      </c>
      <c r="D201" s="144" t="s">
        <v>394</v>
      </c>
      <c r="E201" s="144" t="s">
        <v>395</v>
      </c>
      <c r="F201" s="177"/>
      <c r="G201" s="178"/>
      <c r="H201" s="178"/>
      <c r="I201" s="182">
        <v>90000</v>
      </c>
      <c r="J201" s="178"/>
      <c r="K201" s="178"/>
      <c r="L201" s="179"/>
      <c r="M201" s="180"/>
      <c r="N201" s="183" t="s">
        <v>396</v>
      </c>
    </row>
    <row r="202" spans="1:14" s="6" customFormat="1" ht="38.25" x14ac:dyDescent="0.3">
      <c r="A202" s="175" t="s">
        <v>397</v>
      </c>
      <c r="B202" s="144" t="s">
        <v>392</v>
      </c>
      <c r="C202" s="181" t="s">
        <v>393</v>
      </c>
      <c r="D202" s="144" t="s">
        <v>394</v>
      </c>
      <c r="E202" s="144" t="s">
        <v>395</v>
      </c>
      <c r="F202" s="177"/>
      <c r="G202" s="178"/>
      <c r="H202" s="178"/>
      <c r="I202" s="182">
        <v>30000</v>
      </c>
      <c r="J202" s="178"/>
      <c r="K202" s="178"/>
      <c r="L202" s="179"/>
      <c r="M202" s="180"/>
      <c r="N202" s="183" t="s">
        <v>396</v>
      </c>
    </row>
    <row r="203" spans="1:14" s="6" customFormat="1" ht="38.25" x14ac:dyDescent="0.3">
      <c r="A203" s="175" t="s">
        <v>398</v>
      </c>
      <c r="B203" s="144" t="s">
        <v>392</v>
      </c>
      <c r="C203" s="181" t="s">
        <v>399</v>
      </c>
      <c r="D203" s="144" t="s">
        <v>394</v>
      </c>
      <c r="E203" s="144" t="s">
        <v>395</v>
      </c>
      <c r="F203" s="177"/>
      <c r="G203" s="178"/>
      <c r="H203" s="178"/>
      <c r="I203" s="182">
        <v>100500</v>
      </c>
      <c r="J203" s="178"/>
      <c r="K203" s="178"/>
      <c r="L203" s="179"/>
      <c r="M203" s="180"/>
      <c r="N203" s="183" t="s">
        <v>396</v>
      </c>
    </row>
    <row r="204" spans="1:14" s="6" customFormat="1" ht="59.25" customHeight="1" x14ac:dyDescent="0.3">
      <c r="A204" s="175" t="s">
        <v>400</v>
      </c>
      <c r="B204" s="144" t="s">
        <v>392</v>
      </c>
      <c r="C204" s="181" t="s">
        <v>393</v>
      </c>
      <c r="D204" s="144" t="s">
        <v>394</v>
      </c>
      <c r="E204" s="144" t="s">
        <v>395</v>
      </c>
      <c r="F204" s="177"/>
      <c r="G204" s="178"/>
      <c r="H204" s="178"/>
      <c r="I204" s="182">
        <v>49000</v>
      </c>
      <c r="J204" s="178"/>
      <c r="K204" s="178"/>
      <c r="L204" s="179"/>
      <c r="M204" s="180"/>
      <c r="N204" s="183" t="s">
        <v>396</v>
      </c>
    </row>
    <row r="205" spans="1:14" s="6" customFormat="1" ht="38.25" x14ac:dyDescent="0.3">
      <c r="A205" s="175" t="s">
        <v>401</v>
      </c>
      <c r="B205" s="144" t="s">
        <v>392</v>
      </c>
      <c r="C205" s="181" t="s">
        <v>393</v>
      </c>
      <c r="D205" s="144" t="s">
        <v>394</v>
      </c>
      <c r="E205" s="144" t="s">
        <v>395</v>
      </c>
      <c r="F205" s="177"/>
      <c r="G205" s="178"/>
      <c r="H205" s="178"/>
      <c r="I205" s="182">
        <v>30000</v>
      </c>
      <c r="J205" s="178"/>
      <c r="K205" s="178"/>
      <c r="L205" s="179"/>
      <c r="M205" s="180"/>
      <c r="N205" s="183" t="s">
        <v>396</v>
      </c>
    </row>
    <row r="206" spans="1:14" s="6" customFormat="1" ht="38.25" x14ac:dyDescent="0.3">
      <c r="A206" s="175" t="s">
        <v>402</v>
      </c>
      <c r="B206" s="144" t="s">
        <v>392</v>
      </c>
      <c r="C206" s="181" t="s">
        <v>393</v>
      </c>
      <c r="D206" s="144" t="s">
        <v>394</v>
      </c>
      <c r="E206" s="144" t="s">
        <v>395</v>
      </c>
      <c r="F206" s="177"/>
      <c r="G206" s="178"/>
      <c r="H206" s="178"/>
      <c r="I206" s="182">
        <v>60000</v>
      </c>
      <c r="J206" s="178"/>
      <c r="K206" s="178"/>
      <c r="L206" s="179"/>
      <c r="M206" s="180"/>
      <c r="N206" s="183" t="s">
        <v>396</v>
      </c>
    </row>
    <row r="207" spans="1:14" s="6" customFormat="1" ht="38.25" x14ac:dyDescent="0.3">
      <c r="A207" s="175" t="s">
        <v>403</v>
      </c>
      <c r="B207" s="144" t="s">
        <v>392</v>
      </c>
      <c r="C207" s="181" t="s">
        <v>393</v>
      </c>
      <c r="D207" s="144" t="s">
        <v>394</v>
      </c>
      <c r="E207" s="144" t="s">
        <v>395</v>
      </c>
      <c r="F207" s="177"/>
      <c r="G207" s="178"/>
      <c r="H207" s="178"/>
      <c r="I207" s="182">
        <v>90000</v>
      </c>
      <c r="J207" s="178"/>
      <c r="K207" s="178"/>
      <c r="L207" s="179"/>
      <c r="M207" s="180"/>
      <c r="N207" s="183" t="s">
        <v>396</v>
      </c>
    </row>
    <row r="208" spans="1:14" s="6" customFormat="1" ht="38.25" x14ac:dyDescent="0.3">
      <c r="A208" s="175" t="s">
        <v>404</v>
      </c>
      <c r="B208" s="144" t="s">
        <v>392</v>
      </c>
      <c r="C208" s="181" t="s">
        <v>393</v>
      </c>
      <c r="D208" s="144" t="s">
        <v>394</v>
      </c>
      <c r="E208" s="144" t="s">
        <v>395</v>
      </c>
      <c r="F208" s="177"/>
      <c r="G208" s="178"/>
      <c r="H208" s="178"/>
      <c r="I208" s="182">
        <v>45000</v>
      </c>
      <c r="J208" s="178"/>
      <c r="K208" s="178"/>
      <c r="L208" s="179"/>
      <c r="M208" s="180"/>
      <c r="N208" s="183" t="s">
        <v>396</v>
      </c>
    </row>
    <row r="209" spans="1:14" s="6" customFormat="1" ht="59.25" customHeight="1" x14ac:dyDescent="0.3">
      <c r="A209" s="175" t="s">
        <v>405</v>
      </c>
      <c r="B209" s="144" t="s">
        <v>392</v>
      </c>
      <c r="C209" s="181" t="s">
        <v>393</v>
      </c>
      <c r="D209" s="144" t="s">
        <v>394</v>
      </c>
      <c r="E209" s="144" t="s">
        <v>395</v>
      </c>
      <c r="F209" s="177"/>
      <c r="G209" s="178"/>
      <c r="H209" s="178"/>
      <c r="I209" s="182">
        <v>45000</v>
      </c>
      <c r="J209" s="178"/>
      <c r="K209" s="178"/>
      <c r="L209" s="179"/>
      <c r="M209" s="180"/>
      <c r="N209" s="183" t="s">
        <v>396</v>
      </c>
    </row>
    <row r="210" spans="1:14" s="6" customFormat="1" ht="60" customHeight="1" x14ac:dyDescent="0.3">
      <c r="A210" s="175" t="s">
        <v>406</v>
      </c>
      <c r="B210" s="144" t="s">
        <v>392</v>
      </c>
      <c r="C210" s="181" t="s">
        <v>393</v>
      </c>
      <c r="D210" s="144" t="s">
        <v>394</v>
      </c>
      <c r="E210" s="144" t="s">
        <v>395</v>
      </c>
      <c r="F210" s="177"/>
      <c r="G210" s="178"/>
      <c r="H210" s="178"/>
      <c r="I210" s="182">
        <v>90000</v>
      </c>
      <c r="J210" s="178"/>
      <c r="K210" s="178"/>
      <c r="L210" s="179"/>
      <c r="M210" s="180"/>
      <c r="N210" s="183" t="s">
        <v>396</v>
      </c>
    </row>
    <row r="211" spans="1:14" s="6" customFormat="1" ht="38.25" x14ac:dyDescent="0.3">
      <c r="A211" s="175" t="s">
        <v>407</v>
      </c>
      <c r="B211" s="144" t="s">
        <v>392</v>
      </c>
      <c r="C211" s="181" t="s">
        <v>393</v>
      </c>
      <c r="D211" s="144" t="s">
        <v>394</v>
      </c>
      <c r="E211" s="144" t="s">
        <v>395</v>
      </c>
      <c r="F211" s="177"/>
      <c r="G211" s="178"/>
      <c r="H211" s="178"/>
      <c r="I211" s="182">
        <v>22500</v>
      </c>
      <c r="J211" s="178"/>
      <c r="K211" s="178"/>
      <c r="L211" s="179"/>
      <c r="M211" s="180"/>
      <c r="N211" s="183" t="s">
        <v>396</v>
      </c>
    </row>
    <row r="212" spans="1:14" s="6" customFormat="1" ht="69" customHeight="1" x14ac:dyDescent="0.3">
      <c r="A212" s="175" t="s">
        <v>408</v>
      </c>
      <c r="B212" s="144" t="s">
        <v>392</v>
      </c>
      <c r="C212" s="181" t="s">
        <v>393</v>
      </c>
      <c r="D212" s="144" t="s">
        <v>394</v>
      </c>
      <c r="E212" s="144" t="s">
        <v>395</v>
      </c>
      <c r="F212" s="177"/>
      <c r="G212" s="178"/>
      <c r="H212" s="178"/>
      <c r="I212" s="182">
        <v>30000</v>
      </c>
      <c r="J212" s="178"/>
      <c r="K212" s="178"/>
      <c r="L212" s="179"/>
      <c r="M212" s="180"/>
      <c r="N212" s="183" t="s">
        <v>396</v>
      </c>
    </row>
    <row r="213" spans="1:14" s="6" customFormat="1" ht="59.25" customHeight="1" x14ac:dyDescent="0.3">
      <c r="A213" s="175" t="s">
        <v>409</v>
      </c>
      <c r="B213" s="144" t="s">
        <v>392</v>
      </c>
      <c r="C213" s="181" t="s">
        <v>393</v>
      </c>
      <c r="D213" s="144" t="s">
        <v>394</v>
      </c>
      <c r="E213" s="144" t="s">
        <v>395</v>
      </c>
      <c r="F213" s="177"/>
      <c r="G213" s="178"/>
      <c r="H213" s="178"/>
      <c r="I213" s="182">
        <v>30000</v>
      </c>
      <c r="J213" s="178"/>
      <c r="K213" s="178"/>
      <c r="L213" s="179"/>
      <c r="M213" s="180"/>
      <c r="N213" s="183" t="s">
        <v>396</v>
      </c>
    </row>
    <row r="214" spans="1:14" s="6" customFormat="1" ht="60.75" customHeight="1" x14ac:dyDescent="0.3">
      <c r="A214" s="175" t="s">
        <v>410</v>
      </c>
      <c r="B214" s="144" t="s">
        <v>392</v>
      </c>
      <c r="C214" s="181" t="s">
        <v>393</v>
      </c>
      <c r="D214" s="144" t="s">
        <v>394</v>
      </c>
      <c r="E214" s="144" t="s">
        <v>395</v>
      </c>
      <c r="F214" s="177"/>
      <c r="G214" s="178"/>
      <c r="H214" s="178"/>
      <c r="I214" s="182">
        <v>90000</v>
      </c>
      <c r="J214" s="178"/>
      <c r="K214" s="178"/>
      <c r="L214" s="179"/>
      <c r="M214" s="180"/>
      <c r="N214" s="183" t="s">
        <v>396</v>
      </c>
    </row>
    <row r="215" spans="1:14" s="6" customFormat="1" ht="44.25" customHeight="1" x14ac:dyDescent="0.3">
      <c r="A215" s="175" t="s">
        <v>411</v>
      </c>
      <c r="B215" s="144" t="s">
        <v>392</v>
      </c>
      <c r="C215" s="181" t="s">
        <v>393</v>
      </c>
      <c r="D215" s="144" t="s">
        <v>394</v>
      </c>
      <c r="E215" s="144" t="s">
        <v>395</v>
      </c>
      <c r="F215" s="177"/>
      <c r="G215" s="178"/>
      <c r="H215" s="178"/>
      <c r="I215" s="182">
        <v>90000</v>
      </c>
      <c r="J215" s="178"/>
      <c r="K215" s="178"/>
      <c r="L215" s="179"/>
      <c r="M215" s="180"/>
      <c r="N215" s="183" t="s">
        <v>396</v>
      </c>
    </row>
    <row r="216" spans="1:14" s="10" customFormat="1" ht="16.5" x14ac:dyDescent="0.3">
      <c r="A216" s="184" t="s">
        <v>412</v>
      </c>
      <c r="B216" s="184"/>
      <c r="C216" s="185"/>
      <c r="D216" s="184"/>
      <c r="E216" s="186"/>
      <c r="F216" s="187"/>
      <c r="G216" s="188"/>
      <c r="H216" s="188"/>
      <c r="I216" s="189">
        <f>SUM(I201:I215)</f>
        <v>892000</v>
      </c>
      <c r="J216" s="189">
        <f t="shared" ref="J216:M216" si="0">SUM(J201:J215)</f>
        <v>0</v>
      </c>
      <c r="K216" s="189">
        <f t="shared" si="0"/>
        <v>0</v>
      </c>
      <c r="L216" s="189">
        <f t="shared" si="0"/>
        <v>0</v>
      </c>
      <c r="M216" s="189">
        <f t="shared" si="0"/>
        <v>0</v>
      </c>
      <c r="N216" s="190"/>
    </row>
    <row r="217" spans="1:14" s="6" customFormat="1" ht="16.5" x14ac:dyDescent="0.3">
      <c r="A217" s="191" t="s">
        <v>413</v>
      </c>
      <c r="B217" s="192"/>
      <c r="C217" s="193"/>
      <c r="D217" s="194"/>
      <c r="E217" s="144"/>
      <c r="F217" s="144"/>
      <c r="G217" s="195"/>
      <c r="H217" s="195"/>
      <c r="I217" s="195"/>
      <c r="J217" s="195"/>
      <c r="K217" s="195"/>
      <c r="L217" s="179"/>
      <c r="M217" s="196"/>
      <c r="N217" s="197"/>
    </row>
    <row r="218" spans="1:14" s="10" customFormat="1" ht="16.5" x14ac:dyDescent="0.3">
      <c r="A218" s="191" t="s">
        <v>414</v>
      </c>
      <c r="B218" s="192"/>
      <c r="C218" s="43"/>
      <c r="D218" s="194"/>
      <c r="E218" s="30"/>
      <c r="F218" s="30"/>
      <c r="G218" s="195"/>
      <c r="H218" s="195"/>
      <c r="I218" s="195"/>
      <c r="J218" s="195"/>
      <c r="K218" s="195"/>
      <c r="L218" s="179"/>
      <c r="M218" s="196"/>
      <c r="N218" s="198"/>
    </row>
    <row r="219" spans="1:14" s="6" customFormat="1" ht="57.75" customHeight="1" x14ac:dyDescent="0.3">
      <c r="A219" s="181" t="s">
        <v>415</v>
      </c>
      <c r="B219" s="144" t="s">
        <v>392</v>
      </c>
      <c r="C219" s="181" t="s">
        <v>393</v>
      </c>
      <c r="D219" s="193" t="s">
        <v>394</v>
      </c>
      <c r="E219" s="144" t="s">
        <v>395</v>
      </c>
      <c r="F219" s="183"/>
      <c r="G219" s="201"/>
      <c r="H219" s="183"/>
      <c r="I219" s="183">
        <v>50000</v>
      </c>
      <c r="J219" s="183"/>
      <c r="K219" s="183"/>
      <c r="L219" s="199"/>
      <c r="M219" s="200"/>
      <c r="N219" s="183" t="s">
        <v>396</v>
      </c>
    </row>
    <row r="220" spans="1:14" s="6" customFormat="1" ht="38.25" x14ac:dyDescent="0.3">
      <c r="A220" s="193" t="s">
        <v>416</v>
      </c>
      <c r="B220" s="144" t="s">
        <v>392</v>
      </c>
      <c r="C220" s="181" t="s">
        <v>393</v>
      </c>
      <c r="D220" s="193" t="s">
        <v>394</v>
      </c>
      <c r="E220" s="144" t="s">
        <v>395</v>
      </c>
      <c r="F220" s="144"/>
      <c r="G220" s="201"/>
      <c r="H220" s="201"/>
      <c r="I220" s="202">
        <v>183000</v>
      </c>
      <c r="J220" s="201"/>
      <c r="K220" s="201"/>
      <c r="L220" s="203"/>
      <c r="M220" s="204"/>
      <c r="N220" s="183" t="s">
        <v>396</v>
      </c>
    </row>
    <row r="221" spans="1:14" s="6" customFormat="1" ht="51" x14ac:dyDescent="0.3">
      <c r="A221" s="205" t="s">
        <v>417</v>
      </c>
      <c r="B221" s="144" t="s">
        <v>392</v>
      </c>
      <c r="C221" s="181" t="s">
        <v>393</v>
      </c>
      <c r="D221" s="193" t="s">
        <v>394</v>
      </c>
      <c r="E221" s="144" t="s">
        <v>395</v>
      </c>
      <c r="F221" s="144"/>
      <c r="G221" s="201"/>
      <c r="H221" s="201"/>
      <c r="I221" s="202">
        <v>50000</v>
      </c>
      <c r="J221" s="201"/>
      <c r="K221" s="201"/>
      <c r="L221" s="203"/>
      <c r="M221" s="206"/>
      <c r="N221" s="183" t="s">
        <v>396</v>
      </c>
    </row>
    <row r="222" spans="1:14" s="6" customFormat="1" ht="38.25" x14ac:dyDescent="0.3">
      <c r="A222" s="205" t="s">
        <v>418</v>
      </c>
      <c r="B222" s="144" t="s">
        <v>392</v>
      </c>
      <c r="C222" s="181" t="s">
        <v>393</v>
      </c>
      <c r="D222" s="193" t="s">
        <v>394</v>
      </c>
      <c r="E222" s="144" t="s">
        <v>395</v>
      </c>
      <c r="F222" s="144"/>
      <c r="G222" s="201"/>
      <c r="H222" s="201"/>
      <c r="I222" s="202">
        <v>30000</v>
      </c>
      <c r="J222" s="201"/>
      <c r="K222" s="201"/>
      <c r="L222" s="203"/>
      <c r="M222" s="206"/>
      <c r="N222" s="183" t="s">
        <v>396</v>
      </c>
    </row>
    <row r="223" spans="1:14" s="6" customFormat="1" ht="54.75" customHeight="1" x14ac:dyDescent="0.3">
      <c r="A223" s="205" t="s">
        <v>419</v>
      </c>
      <c r="B223" s="144" t="s">
        <v>392</v>
      </c>
      <c r="C223" s="181" t="s">
        <v>393</v>
      </c>
      <c r="D223" s="193" t="s">
        <v>394</v>
      </c>
      <c r="E223" s="144" t="s">
        <v>395</v>
      </c>
      <c r="F223" s="144"/>
      <c r="G223" s="201"/>
      <c r="H223" s="201"/>
      <c r="I223" s="202">
        <v>35000</v>
      </c>
      <c r="J223" s="201"/>
      <c r="K223" s="201"/>
      <c r="L223" s="203"/>
      <c r="M223" s="206"/>
      <c r="N223" s="183" t="s">
        <v>396</v>
      </c>
    </row>
    <row r="224" spans="1:14" s="6" customFormat="1" ht="54.75" customHeight="1" x14ac:dyDescent="0.3">
      <c r="A224" s="205" t="s">
        <v>420</v>
      </c>
      <c r="B224" s="144" t="s">
        <v>392</v>
      </c>
      <c r="C224" s="181" t="s">
        <v>393</v>
      </c>
      <c r="D224" s="193" t="s">
        <v>394</v>
      </c>
      <c r="E224" s="144" t="s">
        <v>395</v>
      </c>
      <c r="F224" s="144"/>
      <c r="G224" s="201"/>
      <c r="H224" s="201"/>
      <c r="I224" s="202">
        <v>50000</v>
      </c>
      <c r="J224" s="201"/>
      <c r="K224" s="201"/>
      <c r="L224" s="203"/>
      <c r="M224" s="206"/>
      <c r="N224" s="183" t="s">
        <v>396</v>
      </c>
    </row>
    <row r="225" spans="1:14" s="6" customFormat="1" ht="46.5" customHeight="1" x14ac:dyDescent="0.3">
      <c r="A225" s="205" t="s">
        <v>421</v>
      </c>
      <c r="B225" s="144" t="s">
        <v>392</v>
      </c>
      <c r="C225" s="181" t="s">
        <v>393</v>
      </c>
      <c r="D225" s="193" t="s">
        <v>394</v>
      </c>
      <c r="E225" s="144" t="s">
        <v>395</v>
      </c>
      <c r="F225" s="144"/>
      <c r="G225" s="201"/>
      <c r="H225" s="201"/>
      <c r="I225" s="202">
        <v>30000</v>
      </c>
      <c r="J225" s="201"/>
      <c r="K225" s="201"/>
      <c r="L225" s="203"/>
      <c r="M225" s="206"/>
      <c r="N225" s="183" t="s">
        <v>396</v>
      </c>
    </row>
    <row r="226" spans="1:14" s="6" customFormat="1" ht="71.25" customHeight="1" x14ac:dyDescent="0.3">
      <c r="A226" s="205" t="s">
        <v>422</v>
      </c>
      <c r="B226" s="144" t="s">
        <v>392</v>
      </c>
      <c r="C226" s="181" t="s">
        <v>393</v>
      </c>
      <c r="D226" s="193" t="s">
        <v>394</v>
      </c>
      <c r="E226" s="144" t="s">
        <v>395</v>
      </c>
      <c r="F226" s="144"/>
      <c r="G226" s="201"/>
      <c r="H226" s="201"/>
      <c r="I226" s="202">
        <v>25000</v>
      </c>
      <c r="J226" s="201"/>
      <c r="K226" s="201"/>
      <c r="L226" s="203"/>
      <c r="M226" s="206"/>
      <c r="N226" s="183" t="s">
        <v>396</v>
      </c>
    </row>
    <row r="227" spans="1:14" s="6" customFormat="1" ht="47.25" customHeight="1" x14ac:dyDescent="0.3">
      <c r="A227" s="205" t="s">
        <v>423</v>
      </c>
      <c r="B227" s="144" t="s">
        <v>392</v>
      </c>
      <c r="C227" s="181" t="s">
        <v>393</v>
      </c>
      <c r="D227" s="193" t="s">
        <v>394</v>
      </c>
      <c r="E227" s="144" t="s">
        <v>395</v>
      </c>
      <c r="F227" s="144"/>
      <c r="G227" s="201"/>
      <c r="H227" s="201"/>
      <c r="I227" s="202">
        <v>20000</v>
      </c>
      <c r="J227" s="201"/>
      <c r="K227" s="201"/>
      <c r="L227" s="203"/>
      <c r="M227" s="206"/>
      <c r="N227" s="183" t="s">
        <v>396</v>
      </c>
    </row>
    <row r="228" spans="1:14" s="6" customFormat="1" ht="38.25" x14ac:dyDescent="0.3">
      <c r="A228" s="205" t="s">
        <v>424</v>
      </c>
      <c r="B228" s="144" t="s">
        <v>392</v>
      </c>
      <c r="C228" s="181" t="s">
        <v>393</v>
      </c>
      <c r="D228" s="193" t="s">
        <v>394</v>
      </c>
      <c r="E228" s="144" t="s">
        <v>395</v>
      </c>
      <c r="F228" s="144"/>
      <c r="G228" s="201"/>
      <c r="H228" s="201"/>
      <c r="I228" s="202">
        <v>25000</v>
      </c>
      <c r="J228" s="201"/>
      <c r="K228" s="201"/>
      <c r="L228" s="203"/>
      <c r="M228" s="206"/>
      <c r="N228" s="183" t="s">
        <v>396</v>
      </c>
    </row>
    <row r="229" spans="1:14" s="6" customFormat="1" ht="38.25" x14ac:dyDescent="0.3">
      <c r="A229" s="205" t="s">
        <v>425</v>
      </c>
      <c r="B229" s="144" t="s">
        <v>392</v>
      </c>
      <c r="C229" s="181" t="s">
        <v>393</v>
      </c>
      <c r="D229" s="193" t="s">
        <v>394</v>
      </c>
      <c r="E229" s="144" t="s">
        <v>395</v>
      </c>
      <c r="F229" s="144"/>
      <c r="G229" s="201"/>
      <c r="H229" s="201"/>
      <c r="I229" s="202">
        <v>22500</v>
      </c>
      <c r="J229" s="201"/>
      <c r="K229" s="201"/>
      <c r="L229" s="203"/>
      <c r="M229" s="206"/>
      <c r="N229" s="183" t="s">
        <v>396</v>
      </c>
    </row>
    <row r="230" spans="1:14" s="6" customFormat="1" ht="38.25" x14ac:dyDescent="0.3">
      <c r="A230" s="205" t="s">
        <v>426</v>
      </c>
      <c r="B230" s="144" t="s">
        <v>392</v>
      </c>
      <c r="C230" s="181" t="s">
        <v>393</v>
      </c>
      <c r="D230" s="193" t="s">
        <v>394</v>
      </c>
      <c r="E230" s="144" t="s">
        <v>395</v>
      </c>
      <c r="F230" s="144"/>
      <c r="G230" s="201"/>
      <c r="H230" s="201"/>
      <c r="I230" s="202">
        <v>10000</v>
      </c>
      <c r="J230" s="201"/>
      <c r="K230" s="201"/>
      <c r="L230" s="203"/>
      <c r="M230" s="206"/>
      <c r="N230" s="183" t="s">
        <v>396</v>
      </c>
    </row>
    <row r="231" spans="1:14" s="6" customFormat="1" ht="67.5" customHeight="1" x14ac:dyDescent="0.3">
      <c r="A231" s="205" t="s">
        <v>427</v>
      </c>
      <c r="B231" s="144" t="s">
        <v>392</v>
      </c>
      <c r="C231" s="181" t="s">
        <v>393</v>
      </c>
      <c r="D231" s="193" t="s">
        <v>394</v>
      </c>
      <c r="E231" s="144" t="s">
        <v>395</v>
      </c>
      <c r="F231" s="144"/>
      <c r="G231" s="201"/>
      <c r="H231" s="201"/>
      <c r="I231" s="202">
        <v>22500</v>
      </c>
      <c r="J231" s="201"/>
      <c r="K231" s="201"/>
      <c r="L231" s="203"/>
      <c r="M231" s="206"/>
      <c r="N231" s="183" t="s">
        <v>396</v>
      </c>
    </row>
    <row r="232" spans="1:14" s="6" customFormat="1" ht="60.75" customHeight="1" x14ac:dyDescent="0.3">
      <c r="A232" s="205" t="s">
        <v>428</v>
      </c>
      <c r="B232" s="144" t="s">
        <v>392</v>
      </c>
      <c r="C232" s="181" t="s">
        <v>393</v>
      </c>
      <c r="D232" s="193" t="s">
        <v>394</v>
      </c>
      <c r="E232" s="144" t="s">
        <v>395</v>
      </c>
      <c r="F232" s="144"/>
      <c r="G232" s="201"/>
      <c r="H232" s="201"/>
      <c r="I232" s="202">
        <v>15000</v>
      </c>
      <c r="J232" s="201"/>
      <c r="K232" s="201"/>
      <c r="L232" s="203"/>
      <c r="M232" s="206"/>
      <c r="N232" s="183" t="s">
        <v>396</v>
      </c>
    </row>
    <row r="233" spans="1:14" s="6" customFormat="1" ht="38.25" x14ac:dyDescent="0.3">
      <c r="A233" s="205" t="s">
        <v>429</v>
      </c>
      <c r="B233" s="144" t="s">
        <v>392</v>
      </c>
      <c r="C233" s="181" t="s">
        <v>393</v>
      </c>
      <c r="D233" s="193" t="s">
        <v>394</v>
      </c>
      <c r="E233" s="144" t="s">
        <v>395</v>
      </c>
      <c r="F233" s="144"/>
      <c r="G233" s="201"/>
      <c r="H233" s="201"/>
      <c r="I233" s="202">
        <v>50000</v>
      </c>
      <c r="J233" s="201"/>
      <c r="K233" s="201"/>
      <c r="L233" s="203"/>
      <c r="M233" s="206"/>
      <c r="N233" s="183" t="s">
        <v>396</v>
      </c>
    </row>
    <row r="234" spans="1:14" s="6" customFormat="1" ht="44.25" customHeight="1" x14ac:dyDescent="0.3">
      <c r="A234" s="205" t="s">
        <v>430</v>
      </c>
      <c r="B234" s="144" t="s">
        <v>392</v>
      </c>
      <c r="C234" s="181" t="s">
        <v>393</v>
      </c>
      <c r="D234" s="193" t="s">
        <v>394</v>
      </c>
      <c r="E234" s="144" t="s">
        <v>395</v>
      </c>
      <c r="F234" s="144"/>
      <c r="G234" s="201"/>
      <c r="H234" s="201"/>
      <c r="I234" s="202">
        <v>126000</v>
      </c>
      <c r="J234" s="201"/>
      <c r="K234" s="201"/>
      <c r="L234" s="203"/>
      <c r="M234" s="206"/>
      <c r="N234" s="183" t="s">
        <v>396</v>
      </c>
    </row>
    <row r="235" spans="1:14" s="6" customFormat="1" ht="58.5" customHeight="1" x14ac:dyDescent="0.3">
      <c r="A235" s="205" t="s">
        <v>431</v>
      </c>
      <c r="B235" s="144" t="s">
        <v>392</v>
      </c>
      <c r="C235" s="181" t="s">
        <v>393</v>
      </c>
      <c r="D235" s="193" t="s">
        <v>394</v>
      </c>
      <c r="E235" s="144" t="s">
        <v>395</v>
      </c>
      <c r="F235" s="144"/>
      <c r="G235" s="201"/>
      <c r="H235" s="201"/>
      <c r="I235" s="202">
        <v>21000</v>
      </c>
      <c r="J235" s="201"/>
      <c r="K235" s="201"/>
      <c r="L235" s="203"/>
      <c r="M235" s="206"/>
      <c r="N235" s="183" t="s">
        <v>396</v>
      </c>
    </row>
    <row r="236" spans="1:14" s="10" customFormat="1" ht="16.5" x14ac:dyDescent="0.3">
      <c r="A236" s="191" t="s">
        <v>432</v>
      </c>
      <c r="B236" s="192"/>
      <c r="C236" s="43"/>
      <c r="D236" s="194"/>
      <c r="E236" s="30"/>
      <c r="F236" s="30"/>
      <c r="G236" s="195"/>
      <c r="H236" s="195"/>
      <c r="I236" s="195"/>
      <c r="J236" s="195"/>
      <c r="K236" s="195"/>
      <c r="L236" s="179"/>
      <c r="M236" s="196"/>
      <c r="N236" s="198"/>
    </row>
    <row r="237" spans="1:14" s="6" customFormat="1" ht="45.75" customHeight="1" x14ac:dyDescent="0.3">
      <c r="A237" s="193" t="s">
        <v>433</v>
      </c>
      <c r="B237" s="144" t="s">
        <v>392</v>
      </c>
      <c r="C237" s="181" t="s">
        <v>393</v>
      </c>
      <c r="D237" s="193" t="s">
        <v>394</v>
      </c>
      <c r="E237" s="144" t="s">
        <v>395</v>
      </c>
      <c r="F237" s="144"/>
      <c r="G237" s="201"/>
      <c r="H237" s="201"/>
      <c r="I237" s="202">
        <v>70000</v>
      </c>
      <c r="J237" s="201"/>
      <c r="K237" s="201"/>
      <c r="L237" s="203"/>
      <c r="M237" s="204"/>
      <c r="N237" s="183" t="s">
        <v>396</v>
      </c>
    </row>
    <row r="238" spans="1:14" s="6" customFormat="1" ht="38.25" x14ac:dyDescent="0.3">
      <c r="A238" s="193" t="s">
        <v>434</v>
      </c>
      <c r="B238" s="144" t="s">
        <v>392</v>
      </c>
      <c r="C238" s="181" t="s">
        <v>393</v>
      </c>
      <c r="D238" s="193" t="s">
        <v>394</v>
      </c>
      <c r="E238" s="144" t="s">
        <v>395</v>
      </c>
      <c r="F238" s="144"/>
      <c r="G238" s="201"/>
      <c r="H238" s="201"/>
      <c r="I238" s="202">
        <v>48000</v>
      </c>
      <c r="J238" s="201"/>
      <c r="K238" s="201"/>
      <c r="L238" s="203"/>
      <c r="M238" s="204"/>
      <c r="N238" s="183" t="s">
        <v>396</v>
      </c>
    </row>
    <row r="239" spans="1:14" s="6" customFormat="1" ht="38.25" x14ac:dyDescent="0.3">
      <c r="A239" s="193" t="s">
        <v>435</v>
      </c>
      <c r="B239" s="144" t="s">
        <v>392</v>
      </c>
      <c r="C239" s="181" t="s">
        <v>393</v>
      </c>
      <c r="D239" s="193" t="s">
        <v>394</v>
      </c>
      <c r="E239" s="144" t="s">
        <v>395</v>
      </c>
      <c r="F239" s="144"/>
      <c r="G239" s="201"/>
      <c r="H239" s="201"/>
      <c r="I239" s="202">
        <v>50000</v>
      </c>
      <c r="J239" s="201"/>
      <c r="K239" s="201"/>
      <c r="L239" s="203"/>
      <c r="M239" s="204"/>
      <c r="N239" s="183" t="s">
        <v>396</v>
      </c>
    </row>
    <row r="240" spans="1:14" s="6" customFormat="1" ht="38.25" x14ac:dyDescent="0.3">
      <c r="A240" s="193" t="s">
        <v>436</v>
      </c>
      <c r="B240" s="144" t="s">
        <v>392</v>
      </c>
      <c r="C240" s="181" t="s">
        <v>393</v>
      </c>
      <c r="D240" s="193" t="s">
        <v>394</v>
      </c>
      <c r="E240" s="144" t="s">
        <v>395</v>
      </c>
      <c r="F240" s="144"/>
      <c r="G240" s="201"/>
      <c r="H240" s="201"/>
      <c r="I240" s="202">
        <v>60000</v>
      </c>
      <c r="J240" s="201"/>
      <c r="K240" s="201"/>
      <c r="L240" s="203"/>
      <c r="M240" s="204"/>
      <c r="N240" s="183" t="s">
        <v>396</v>
      </c>
    </row>
    <row r="241" spans="1:14" s="6" customFormat="1" ht="38.25" x14ac:dyDescent="0.3">
      <c r="A241" s="193" t="s">
        <v>437</v>
      </c>
      <c r="B241" s="144" t="s">
        <v>392</v>
      </c>
      <c r="C241" s="181" t="s">
        <v>393</v>
      </c>
      <c r="D241" s="193" t="s">
        <v>438</v>
      </c>
      <c r="E241" s="144" t="s">
        <v>395</v>
      </c>
      <c r="F241" s="144"/>
      <c r="G241" s="201"/>
      <c r="H241" s="201"/>
      <c r="I241" s="202">
        <v>175000</v>
      </c>
      <c r="J241" s="201"/>
      <c r="K241" s="201"/>
      <c r="L241" s="203"/>
      <c r="M241" s="204"/>
      <c r="N241" s="183" t="s">
        <v>396</v>
      </c>
    </row>
    <row r="242" spans="1:14" s="10" customFormat="1" ht="16.5" x14ac:dyDescent="0.3">
      <c r="A242" s="191" t="s">
        <v>439</v>
      </c>
      <c r="B242" s="192"/>
      <c r="C242" s="43"/>
      <c r="D242" s="194"/>
      <c r="E242" s="30"/>
      <c r="F242" s="30"/>
      <c r="G242" s="195"/>
      <c r="H242" s="195"/>
      <c r="I242" s="195"/>
      <c r="J242" s="195"/>
      <c r="K242" s="195"/>
      <c r="L242" s="179"/>
      <c r="M242" s="196"/>
      <c r="N242" s="198"/>
    </row>
    <row r="243" spans="1:14" s="6" customFormat="1" ht="38.25" x14ac:dyDescent="0.3">
      <c r="A243" s="193" t="s">
        <v>440</v>
      </c>
      <c r="B243" s="144" t="s">
        <v>392</v>
      </c>
      <c r="C243" s="181" t="s">
        <v>393</v>
      </c>
      <c r="D243" s="193" t="s">
        <v>394</v>
      </c>
      <c r="E243" s="144" t="s">
        <v>395</v>
      </c>
      <c r="F243" s="144"/>
      <c r="G243" s="201"/>
      <c r="H243" s="201"/>
      <c r="I243" s="202">
        <v>50000</v>
      </c>
      <c r="J243" s="201"/>
      <c r="K243" s="201"/>
      <c r="L243" s="203"/>
      <c r="M243" s="207"/>
      <c r="N243" s="183" t="s">
        <v>396</v>
      </c>
    </row>
    <row r="244" spans="1:14" s="6" customFormat="1" ht="38.25" x14ac:dyDescent="0.3">
      <c r="A244" s="193" t="s">
        <v>441</v>
      </c>
      <c r="B244" s="144" t="s">
        <v>392</v>
      </c>
      <c r="C244" s="181" t="s">
        <v>393</v>
      </c>
      <c r="D244" s="193" t="s">
        <v>394</v>
      </c>
      <c r="E244" s="144" t="s">
        <v>395</v>
      </c>
      <c r="F244" s="144"/>
      <c r="G244" s="201"/>
      <c r="H244" s="201"/>
      <c r="I244" s="202">
        <v>100000</v>
      </c>
      <c r="J244" s="201"/>
      <c r="K244" s="201"/>
      <c r="L244" s="203"/>
      <c r="M244" s="207"/>
      <c r="N244" s="183" t="s">
        <v>396</v>
      </c>
    </row>
    <row r="245" spans="1:14" s="6" customFormat="1" ht="38.25" x14ac:dyDescent="0.3">
      <c r="A245" s="193" t="s">
        <v>442</v>
      </c>
      <c r="B245" s="144" t="s">
        <v>392</v>
      </c>
      <c r="C245" s="181" t="s">
        <v>393</v>
      </c>
      <c r="D245" s="193" t="s">
        <v>394</v>
      </c>
      <c r="E245" s="144" t="s">
        <v>395</v>
      </c>
      <c r="F245" s="144"/>
      <c r="G245" s="201"/>
      <c r="H245" s="183"/>
      <c r="I245" s="202">
        <v>50000</v>
      </c>
      <c r="J245" s="183"/>
      <c r="K245" s="183"/>
      <c r="L245" s="203"/>
      <c r="M245" s="207"/>
      <c r="N245" s="183" t="s">
        <v>396</v>
      </c>
    </row>
    <row r="246" spans="1:14" s="6" customFormat="1" ht="66.75" customHeight="1" x14ac:dyDescent="0.3">
      <c r="A246" s="193" t="s">
        <v>443</v>
      </c>
      <c r="B246" s="144" t="s">
        <v>392</v>
      </c>
      <c r="C246" s="181" t="s">
        <v>393</v>
      </c>
      <c r="D246" s="193" t="s">
        <v>394</v>
      </c>
      <c r="E246" s="144" t="s">
        <v>395</v>
      </c>
      <c r="F246" s="144"/>
      <c r="G246" s="201"/>
      <c r="H246" s="201"/>
      <c r="I246" s="202">
        <v>100000</v>
      </c>
      <c r="J246" s="201"/>
      <c r="K246" s="201"/>
      <c r="L246" s="203"/>
      <c r="M246" s="208"/>
      <c r="N246" s="183" t="s">
        <v>396</v>
      </c>
    </row>
    <row r="247" spans="1:14" s="6" customFormat="1" ht="45.75" customHeight="1" x14ac:dyDescent="0.3">
      <c r="A247" s="193" t="s">
        <v>444</v>
      </c>
      <c r="B247" s="144" t="s">
        <v>392</v>
      </c>
      <c r="C247" s="181" t="s">
        <v>393</v>
      </c>
      <c r="D247" s="193" t="s">
        <v>394</v>
      </c>
      <c r="E247" s="144" t="s">
        <v>395</v>
      </c>
      <c r="F247" s="144"/>
      <c r="G247" s="201"/>
      <c r="H247" s="201"/>
      <c r="I247" s="202">
        <v>50000</v>
      </c>
      <c r="J247" s="201"/>
      <c r="K247" s="201"/>
      <c r="L247" s="203"/>
      <c r="M247" s="208"/>
      <c r="N247" s="183" t="s">
        <v>396</v>
      </c>
    </row>
    <row r="248" spans="1:14" s="10" customFormat="1" ht="16.5" x14ac:dyDescent="0.3">
      <c r="A248" s="186" t="s">
        <v>412</v>
      </c>
      <c r="B248" s="186"/>
      <c r="C248" s="185"/>
      <c r="D248" s="186"/>
      <c r="E248" s="186"/>
      <c r="F248" s="187"/>
      <c r="G248" s="187"/>
      <c r="H248" s="209"/>
      <c r="I248" s="210">
        <f>SUM(I219:I247)</f>
        <v>1518000</v>
      </c>
      <c r="J248" s="209"/>
      <c r="K248" s="209"/>
      <c r="L248" s="211"/>
      <c r="M248" s="189"/>
      <c r="N248" s="187"/>
    </row>
    <row r="249" spans="1:14" s="10" customFormat="1" ht="26.25" customHeight="1" x14ac:dyDescent="0.3">
      <c r="A249" s="191" t="s">
        <v>445</v>
      </c>
      <c r="B249" s="191"/>
      <c r="C249" s="175"/>
      <c r="D249" s="194"/>
      <c r="E249" s="177"/>
      <c r="F249" s="177"/>
      <c r="G249" s="212"/>
      <c r="H249" s="212"/>
      <c r="I249" s="212"/>
      <c r="J249" s="212"/>
      <c r="K249" s="212"/>
      <c r="L249" s="213"/>
      <c r="M249" s="196"/>
      <c r="N249" s="214"/>
    </row>
    <row r="250" spans="1:14" s="10" customFormat="1" ht="16.5" x14ac:dyDescent="0.3">
      <c r="A250" s="191" t="s">
        <v>446</v>
      </c>
      <c r="B250" s="30"/>
      <c r="C250" s="175"/>
      <c r="D250" s="194"/>
      <c r="E250" s="177"/>
      <c r="F250" s="177"/>
      <c r="G250" s="212"/>
      <c r="H250" s="212"/>
      <c r="I250" s="212"/>
      <c r="J250" s="212"/>
      <c r="K250" s="212"/>
      <c r="L250" s="213"/>
      <c r="M250" s="196"/>
      <c r="N250" s="214"/>
    </row>
    <row r="251" spans="1:14" s="6" customFormat="1" ht="59.25" customHeight="1" x14ac:dyDescent="0.3">
      <c r="A251" s="194" t="s">
        <v>447</v>
      </c>
      <c r="B251" s="144" t="s">
        <v>392</v>
      </c>
      <c r="C251" s="181" t="s">
        <v>448</v>
      </c>
      <c r="D251" s="181" t="s">
        <v>449</v>
      </c>
      <c r="E251" s="144" t="s">
        <v>395</v>
      </c>
      <c r="F251" s="177"/>
      <c r="G251" s="201"/>
      <c r="H251" s="201"/>
      <c r="I251" s="215">
        <v>3200000</v>
      </c>
      <c r="J251" s="201"/>
      <c r="K251" s="201"/>
      <c r="L251" s="213"/>
      <c r="M251" s="196"/>
      <c r="N251" s="183" t="s">
        <v>396</v>
      </c>
    </row>
    <row r="252" spans="1:14" s="6" customFormat="1" ht="38.25" x14ac:dyDescent="0.3">
      <c r="A252" s="216"/>
      <c r="B252" s="144"/>
      <c r="C252" s="194" t="s">
        <v>450</v>
      </c>
      <c r="D252" s="181" t="s">
        <v>451</v>
      </c>
      <c r="E252" s="144" t="s">
        <v>395</v>
      </c>
      <c r="F252" s="177"/>
      <c r="G252" s="201"/>
      <c r="H252" s="201"/>
      <c r="I252" s="215">
        <v>300000</v>
      </c>
      <c r="J252" s="201"/>
      <c r="K252" s="201"/>
      <c r="L252" s="213"/>
      <c r="M252" s="196"/>
      <c r="N252" s="183" t="s">
        <v>396</v>
      </c>
    </row>
    <row r="253" spans="1:14" s="6" customFormat="1" ht="38.25" x14ac:dyDescent="0.3">
      <c r="A253" s="216"/>
      <c r="B253" s="144"/>
      <c r="C253" s="194" t="s">
        <v>452</v>
      </c>
      <c r="D253" s="181" t="s">
        <v>451</v>
      </c>
      <c r="E253" s="144" t="s">
        <v>395</v>
      </c>
      <c r="F253" s="177"/>
      <c r="G253" s="201"/>
      <c r="H253" s="201"/>
      <c r="I253" s="215">
        <v>1000000</v>
      </c>
      <c r="J253" s="201"/>
      <c r="K253" s="201"/>
      <c r="L253" s="213"/>
      <c r="M253" s="196"/>
      <c r="N253" s="183" t="s">
        <v>396</v>
      </c>
    </row>
    <row r="254" spans="1:14" s="6" customFormat="1" ht="45" customHeight="1" x14ac:dyDescent="0.3">
      <c r="A254" s="194" t="s">
        <v>453</v>
      </c>
      <c r="B254" s="144" t="s">
        <v>392</v>
      </c>
      <c r="C254" s="181" t="s">
        <v>448</v>
      </c>
      <c r="D254" s="181" t="s">
        <v>451</v>
      </c>
      <c r="E254" s="144" t="s">
        <v>395</v>
      </c>
      <c r="F254" s="177"/>
      <c r="G254" s="201"/>
      <c r="H254" s="201"/>
      <c r="I254" s="215">
        <v>450000</v>
      </c>
      <c r="J254" s="201"/>
      <c r="K254" s="201"/>
      <c r="L254" s="213"/>
      <c r="M254" s="196"/>
      <c r="N254" s="183" t="s">
        <v>396</v>
      </c>
    </row>
    <row r="255" spans="1:14" s="6" customFormat="1" ht="48.75" customHeight="1" x14ac:dyDescent="0.3">
      <c r="A255" s="194" t="s">
        <v>454</v>
      </c>
      <c r="B255" s="144" t="s">
        <v>392</v>
      </c>
      <c r="C255" s="181" t="s">
        <v>448</v>
      </c>
      <c r="D255" s="181" t="s">
        <v>451</v>
      </c>
      <c r="E255" s="144" t="s">
        <v>395</v>
      </c>
      <c r="F255" s="177"/>
      <c r="G255" s="201"/>
      <c r="H255" s="201"/>
      <c r="I255" s="215">
        <v>200000</v>
      </c>
      <c r="J255" s="201"/>
      <c r="K255" s="201"/>
      <c r="L255" s="213"/>
      <c r="M255" s="196"/>
      <c r="N255" s="183" t="s">
        <v>396</v>
      </c>
    </row>
    <row r="256" spans="1:14" s="6" customFormat="1" ht="38.25" x14ac:dyDescent="0.3">
      <c r="A256" s="216"/>
      <c r="B256" s="144" t="s">
        <v>392</v>
      </c>
      <c r="C256" s="194" t="s">
        <v>455</v>
      </c>
      <c r="D256" s="181" t="s">
        <v>451</v>
      </c>
      <c r="E256" s="144" t="s">
        <v>395</v>
      </c>
      <c r="F256" s="177"/>
      <c r="G256" s="201"/>
      <c r="H256" s="201"/>
      <c r="I256" s="215">
        <v>100000</v>
      </c>
      <c r="J256" s="201"/>
      <c r="K256" s="201"/>
      <c r="L256" s="213"/>
      <c r="M256" s="196"/>
      <c r="N256" s="183" t="s">
        <v>396</v>
      </c>
    </row>
    <row r="257" spans="1:14" s="6" customFormat="1" ht="38.25" x14ac:dyDescent="0.3">
      <c r="A257" s="216"/>
      <c r="B257" s="144" t="s">
        <v>392</v>
      </c>
      <c r="C257" s="194" t="s">
        <v>456</v>
      </c>
      <c r="D257" s="181" t="s">
        <v>451</v>
      </c>
      <c r="E257" s="144" t="s">
        <v>395</v>
      </c>
      <c r="F257" s="177"/>
      <c r="G257" s="201"/>
      <c r="H257" s="201"/>
      <c r="I257" s="215">
        <v>599976</v>
      </c>
      <c r="J257" s="201"/>
      <c r="K257" s="201"/>
      <c r="L257" s="213"/>
      <c r="M257" s="196"/>
      <c r="N257" s="183" t="s">
        <v>396</v>
      </c>
    </row>
    <row r="258" spans="1:14" s="6" customFormat="1" ht="95.25" customHeight="1" x14ac:dyDescent="0.3">
      <c r="A258" s="194" t="s">
        <v>457</v>
      </c>
      <c r="B258" s="144" t="s">
        <v>392</v>
      </c>
      <c r="C258" s="181" t="s">
        <v>448</v>
      </c>
      <c r="D258" s="181" t="s">
        <v>451</v>
      </c>
      <c r="E258" s="144" t="s">
        <v>395</v>
      </c>
      <c r="F258" s="177"/>
      <c r="G258" s="201"/>
      <c r="H258" s="201"/>
      <c r="I258" s="215">
        <v>390000</v>
      </c>
      <c r="J258" s="201"/>
      <c r="K258" s="201"/>
      <c r="L258" s="213"/>
      <c r="M258" s="196"/>
      <c r="N258" s="183" t="s">
        <v>396</v>
      </c>
    </row>
    <row r="259" spans="1:14" s="6" customFormat="1" ht="38.25" x14ac:dyDescent="0.3">
      <c r="A259" s="216"/>
      <c r="B259" s="144" t="s">
        <v>392</v>
      </c>
      <c r="C259" s="192" t="s">
        <v>458</v>
      </c>
      <c r="D259" s="181" t="s">
        <v>451</v>
      </c>
      <c r="E259" s="144" t="s">
        <v>395</v>
      </c>
      <c r="F259" s="177"/>
      <c r="G259" s="201"/>
      <c r="H259" s="201"/>
      <c r="I259" s="215">
        <v>599995</v>
      </c>
      <c r="J259" s="201"/>
      <c r="K259" s="201"/>
      <c r="L259" s="213"/>
      <c r="M259" s="196"/>
      <c r="N259" s="183" t="s">
        <v>396</v>
      </c>
    </row>
    <row r="260" spans="1:14" s="6" customFormat="1" ht="38.25" x14ac:dyDescent="0.3">
      <c r="A260" s="216"/>
      <c r="B260" s="144" t="s">
        <v>392</v>
      </c>
      <c r="C260" s="194" t="s">
        <v>459</v>
      </c>
      <c r="D260" s="181" t="s">
        <v>451</v>
      </c>
      <c r="E260" s="144" t="s">
        <v>395</v>
      </c>
      <c r="F260" s="177"/>
      <c r="G260" s="201"/>
      <c r="H260" s="201"/>
      <c r="I260" s="215">
        <v>90000</v>
      </c>
      <c r="J260" s="201"/>
      <c r="K260" s="201"/>
      <c r="L260" s="213"/>
      <c r="M260" s="196"/>
      <c r="N260" s="183" t="s">
        <v>396</v>
      </c>
    </row>
    <row r="261" spans="1:14" s="6" customFormat="1" ht="38.25" x14ac:dyDescent="0.3">
      <c r="A261" s="216"/>
      <c r="B261" s="144" t="s">
        <v>392</v>
      </c>
      <c r="C261" s="194" t="s">
        <v>460</v>
      </c>
      <c r="D261" s="181" t="s">
        <v>451</v>
      </c>
      <c r="E261" s="144" t="s">
        <v>395</v>
      </c>
      <c r="F261" s="177"/>
      <c r="G261" s="201"/>
      <c r="H261" s="201"/>
      <c r="I261" s="215">
        <v>90000</v>
      </c>
      <c r="J261" s="201"/>
      <c r="K261" s="201"/>
      <c r="L261" s="213"/>
      <c r="M261" s="196"/>
      <c r="N261" s="183" t="s">
        <v>396</v>
      </c>
    </row>
    <row r="262" spans="1:14" s="6" customFormat="1" ht="38.25" x14ac:dyDescent="0.3">
      <c r="A262" s="216"/>
      <c r="B262" s="144" t="s">
        <v>392</v>
      </c>
      <c r="C262" s="194" t="s">
        <v>461</v>
      </c>
      <c r="D262" s="181" t="s">
        <v>451</v>
      </c>
      <c r="E262" s="144" t="s">
        <v>395</v>
      </c>
      <c r="F262" s="177"/>
      <c r="G262" s="201"/>
      <c r="H262" s="201"/>
      <c r="I262" s="215">
        <v>180000</v>
      </c>
      <c r="J262" s="201"/>
      <c r="K262" s="201"/>
      <c r="L262" s="213"/>
      <c r="M262" s="196"/>
      <c r="N262" s="183" t="s">
        <v>396</v>
      </c>
    </row>
    <row r="263" spans="1:14" s="10" customFormat="1" ht="21.75" customHeight="1" x14ac:dyDescent="0.3">
      <c r="A263" s="191" t="s">
        <v>462</v>
      </c>
      <c r="B263" s="30"/>
      <c r="C263" s="175"/>
      <c r="D263" s="194"/>
      <c r="E263" s="177"/>
      <c r="F263" s="177"/>
      <c r="G263" s="212"/>
      <c r="H263" s="212"/>
      <c r="I263" s="212"/>
      <c r="J263" s="212"/>
      <c r="K263" s="212"/>
      <c r="L263" s="213"/>
      <c r="M263" s="196"/>
      <c r="N263" s="214"/>
    </row>
    <row r="264" spans="1:14" s="6" customFormat="1" ht="51" x14ac:dyDescent="0.3">
      <c r="A264" s="194" t="s">
        <v>463</v>
      </c>
      <c r="B264" s="144" t="s">
        <v>392</v>
      </c>
      <c r="C264" s="175" t="s">
        <v>464</v>
      </c>
      <c r="D264" s="181" t="s">
        <v>449</v>
      </c>
      <c r="E264" s="144" t="s">
        <v>395</v>
      </c>
      <c r="F264" s="177"/>
      <c r="G264" s="201"/>
      <c r="H264" s="201"/>
      <c r="I264" s="217">
        <v>449997.14</v>
      </c>
      <c r="J264" s="201"/>
      <c r="K264" s="201"/>
      <c r="L264" s="213"/>
      <c r="M264" s="196"/>
      <c r="N264" s="183" t="s">
        <v>396</v>
      </c>
    </row>
    <row r="265" spans="1:14" s="10" customFormat="1" ht="16.5" x14ac:dyDescent="0.3">
      <c r="A265" s="191" t="s">
        <v>465</v>
      </c>
      <c r="B265" s="30"/>
      <c r="C265" s="175"/>
      <c r="D265" s="194"/>
      <c r="E265" s="177"/>
      <c r="F265" s="177"/>
      <c r="G265" s="212"/>
      <c r="H265" s="212"/>
      <c r="I265" s="212"/>
      <c r="J265" s="212"/>
      <c r="K265" s="212"/>
      <c r="L265" s="213"/>
      <c r="M265" s="196"/>
      <c r="N265" s="214"/>
    </row>
    <row r="266" spans="1:14" s="6" customFormat="1" ht="45" customHeight="1" x14ac:dyDescent="0.3">
      <c r="A266" s="194" t="s">
        <v>466</v>
      </c>
      <c r="B266" s="144" t="s">
        <v>392</v>
      </c>
      <c r="C266" s="175" t="s">
        <v>467</v>
      </c>
      <c r="D266" s="181" t="s">
        <v>449</v>
      </c>
      <c r="E266" s="144" t="s">
        <v>395</v>
      </c>
      <c r="F266" s="177"/>
      <c r="G266" s="201"/>
      <c r="H266" s="201"/>
      <c r="I266" s="215">
        <v>4000000</v>
      </c>
      <c r="J266" s="201"/>
      <c r="K266" s="201"/>
      <c r="L266" s="213"/>
      <c r="M266" s="196"/>
      <c r="N266" s="183" t="s">
        <v>396</v>
      </c>
    </row>
    <row r="267" spans="1:14" s="10" customFormat="1" ht="16.5" x14ac:dyDescent="0.3">
      <c r="A267" s="191" t="s">
        <v>468</v>
      </c>
      <c r="B267" s="30"/>
      <c r="C267" s="175"/>
      <c r="D267" s="194"/>
      <c r="E267" s="177"/>
      <c r="F267" s="177"/>
      <c r="G267" s="212"/>
      <c r="H267" s="212"/>
      <c r="I267" s="212"/>
      <c r="J267" s="212"/>
      <c r="K267" s="212"/>
      <c r="L267" s="213"/>
      <c r="M267" s="196"/>
      <c r="N267" s="214"/>
    </row>
    <row r="268" spans="1:14" s="6" customFormat="1" ht="59.25" customHeight="1" x14ac:dyDescent="0.3">
      <c r="A268" s="194" t="s">
        <v>469</v>
      </c>
      <c r="B268" s="144" t="s">
        <v>392</v>
      </c>
      <c r="C268" s="181" t="s">
        <v>470</v>
      </c>
      <c r="D268" s="181" t="s">
        <v>471</v>
      </c>
      <c r="E268" s="144" t="s">
        <v>395</v>
      </c>
      <c r="F268" s="177"/>
      <c r="G268" s="201"/>
      <c r="H268" s="201"/>
      <c r="I268" s="218">
        <v>3000000</v>
      </c>
      <c r="J268" s="201"/>
      <c r="K268" s="201"/>
      <c r="L268" s="213"/>
      <c r="M268" s="196"/>
      <c r="N268" s="183" t="s">
        <v>396</v>
      </c>
    </row>
    <row r="269" spans="1:14" s="6" customFormat="1" ht="47.25" customHeight="1" x14ac:dyDescent="0.3">
      <c r="A269" s="194" t="s">
        <v>472</v>
      </c>
      <c r="B269" s="144" t="s">
        <v>392</v>
      </c>
      <c r="C269" s="181" t="s">
        <v>470</v>
      </c>
      <c r="D269" s="181" t="s">
        <v>471</v>
      </c>
      <c r="E269" s="144" t="s">
        <v>395</v>
      </c>
      <c r="F269" s="177"/>
      <c r="G269" s="201"/>
      <c r="H269" s="201"/>
      <c r="I269" s="204">
        <v>270000</v>
      </c>
      <c r="J269" s="201"/>
      <c r="K269" s="201"/>
      <c r="L269" s="213"/>
      <c r="M269" s="196"/>
      <c r="N269" s="183" t="s">
        <v>396</v>
      </c>
    </row>
    <row r="270" spans="1:14" s="6" customFormat="1" ht="58.5" customHeight="1" x14ac:dyDescent="0.3">
      <c r="A270" s="194" t="s">
        <v>473</v>
      </c>
      <c r="B270" s="144" t="s">
        <v>392</v>
      </c>
      <c r="C270" s="181" t="s">
        <v>470</v>
      </c>
      <c r="D270" s="181" t="s">
        <v>471</v>
      </c>
      <c r="E270" s="144" t="s">
        <v>395</v>
      </c>
      <c r="F270" s="177"/>
      <c r="G270" s="201"/>
      <c r="H270" s="201"/>
      <c r="I270" s="204">
        <v>300000</v>
      </c>
      <c r="J270" s="201"/>
      <c r="K270" s="201"/>
      <c r="L270" s="213"/>
      <c r="M270" s="196"/>
      <c r="N270" s="183" t="s">
        <v>396</v>
      </c>
    </row>
    <row r="271" spans="1:14" s="6" customFormat="1" ht="38.25" x14ac:dyDescent="0.3">
      <c r="A271" s="191"/>
      <c r="B271" s="144" t="s">
        <v>392</v>
      </c>
      <c r="C271" s="175" t="s">
        <v>474</v>
      </c>
      <c r="D271" s="175" t="s">
        <v>475</v>
      </c>
      <c r="E271" s="144" t="s">
        <v>395</v>
      </c>
      <c r="F271" s="177"/>
      <c r="G271" s="201"/>
      <c r="H271" s="201"/>
      <c r="I271" s="204">
        <v>450000</v>
      </c>
      <c r="J271" s="201"/>
      <c r="K271" s="201"/>
      <c r="L271" s="213"/>
      <c r="M271" s="196"/>
      <c r="N271" s="183" t="s">
        <v>396</v>
      </c>
    </row>
    <row r="272" spans="1:14" s="6" customFormat="1" ht="38.25" x14ac:dyDescent="0.3">
      <c r="A272" s="191"/>
      <c r="B272" s="144" t="s">
        <v>392</v>
      </c>
      <c r="C272" s="175" t="s">
        <v>476</v>
      </c>
      <c r="D272" s="175" t="s">
        <v>477</v>
      </c>
      <c r="E272" s="144" t="s">
        <v>395</v>
      </c>
      <c r="F272" s="177"/>
      <c r="G272" s="201"/>
      <c r="H272" s="201"/>
      <c r="I272" s="204">
        <v>542500</v>
      </c>
      <c r="J272" s="201"/>
      <c r="K272" s="201"/>
      <c r="L272" s="213"/>
      <c r="M272" s="196"/>
      <c r="N272" s="183" t="s">
        <v>396</v>
      </c>
    </row>
    <row r="273" spans="1:14" s="6" customFormat="1" ht="38.25" x14ac:dyDescent="0.3">
      <c r="A273" s="191"/>
      <c r="B273" s="144" t="s">
        <v>392</v>
      </c>
      <c r="C273" s="175" t="s">
        <v>478</v>
      </c>
      <c r="D273" s="175" t="s">
        <v>479</v>
      </c>
      <c r="E273" s="144" t="s">
        <v>395</v>
      </c>
      <c r="F273" s="177"/>
      <c r="G273" s="201"/>
      <c r="H273" s="201"/>
      <c r="I273" s="204">
        <v>120000</v>
      </c>
      <c r="J273" s="201"/>
      <c r="K273" s="201"/>
      <c r="L273" s="213"/>
      <c r="M273" s="196"/>
      <c r="N273" s="183" t="s">
        <v>396</v>
      </c>
    </row>
    <row r="274" spans="1:14" s="6" customFormat="1" ht="38.25" x14ac:dyDescent="0.3">
      <c r="A274" s="191"/>
      <c r="B274" s="144" t="s">
        <v>392</v>
      </c>
      <c r="C274" s="175" t="s">
        <v>480</v>
      </c>
      <c r="D274" s="175" t="s">
        <v>481</v>
      </c>
      <c r="E274" s="144" t="s">
        <v>395</v>
      </c>
      <c r="F274" s="177"/>
      <c r="G274" s="201"/>
      <c r="H274" s="201"/>
      <c r="I274" s="204">
        <v>78750</v>
      </c>
      <c r="J274" s="201"/>
      <c r="K274" s="201"/>
      <c r="L274" s="213"/>
      <c r="M274" s="196"/>
      <c r="N274" s="183" t="s">
        <v>396</v>
      </c>
    </row>
    <row r="275" spans="1:14" s="6" customFormat="1" ht="38.25" x14ac:dyDescent="0.3">
      <c r="A275" s="191"/>
      <c r="B275" s="144" t="s">
        <v>392</v>
      </c>
      <c r="C275" s="175" t="s">
        <v>482</v>
      </c>
      <c r="D275" s="175" t="s">
        <v>483</v>
      </c>
      <c r="E275" s="144" t="s">
        <v>395</v>
      </c>
      <c r="F275" s="177"/>
      <c r="G275" s="201"/>
      <c r="H275" s="201"/>
      <c r="I275" s="204">
        <v>612500</v>
      </c>
      <c r="J275" s="201"/>
      <c r="K275" s="201"/>
      <c r="L275" s="213"/>
      <c r="M275" s="196"/>
      <c r="N275" s="183" t="s">
        <v>396</v>
      </c>
    </row>
    <row r="276" spans="1:14" s="6" customFormat="1" ht="38.25" x14ac:dyDescent="0.3">
      <c r="A276" s="191"/>
      <c r="B276" s="144" t="s">
        <v>392</v>
      </c>
      <c r="C276" s="175" t="s">
        <v>484</v>
      </c>
      <c r="D276" s="175" t="s">
        <v>485</v>
      </c>
      <c r="E276" s="144" t="s">
        <v>395</v>
      </c>
      <c r="F276" s="177"/>
      <c r="G276" s="201"/>
      <c r="H276" s="201"/>
      <c r="I276" s="204">
        <v>145000</v>
      </c>
      <c r="J276" s="201"/>
      <c r="K276" s="201"/>
      <c r="L276" s="213"/>
      <c r="M276" s="196"/>
      <c r="N276" s="183" t="s">
        <v>396</v>
      </c>
    </row>
    <row r="277" spans="1:14" s="6" customFormat="1" ht="66.75" customHeight="1" x14ac:dyDescent="0.3">
      <c r="A277" s="194" t="s">
        <v>486</v>
      </c>
      <c r="B277" s="144" t="s">
        <v>392</v>
      </c>
      <c r="C277" s="175" t="s">
        <v>487</v>
      </c>
      <c r="D277" s="175" t="s">
        <v>488</v>
      </c>
      <c r="E277" s="144" t="s">
        <v>395</v>
      </c>
      <c r="F277" s="177"/>
      <c r="G277" s="201"/>
      <c r="H277" s="201"/>
      <c r="I277" s="215">
        <v>446250</v>
      </c>
      <c r="J277" s="201"/>
      <c r="K277" s="201"/>
      <c r="L277" s="213"/>
      <c r="M277" s="196"/>
      <c r="N277" s="183" t="s">
        <v>396</v>
      </c>
    </row>
    <row r="278" spans="1:14" s="6" customFormat="1" ht="38.25" x14ac:dyDescent="0.3">
      <c r="A278" s="191"/>
      <c r="B278" s="144" t="s">
        <v>392</v>
      </c>
      <c r="C278" s="175" t="s">
        <v>489</v>
      </c>
      <c r="D278" s="175" t="s">
        <v>490</v>
      </c>
      <c r="E278" s="144" t="s">
        <v>395</v>
      </c>
      <c r="F278" s="177"/>
      <c r="G278" s="201"/>
      <c r="H278" s="201"/>
      <c r="I278" s="204">
        <v>450000</v>
      </c>
      <c r="J278" s="201"/>
      <c r="K278" s="201"/>
      <c r="L278" s="213"/>
      <c r="M278" s="196"/>
      <c r="N278" s="183" t="s">
        <v>396</v>
      </c>
    </row>
    <row r="279" spans="1:14" s="6" customFormat="1" ht="63.75" x14ac:dyDescent="0.3">
      <c r="A279" s="191"/>
      <c r="B279" s="144" t="s">
        <v>392</v>
      </c>
      <c r="C279" s="175" t="s">
        <v>491</v>
      </c>
      <c r="D279" s="175" t="s">
        <v>492</v>
      </c>
      <c r="E279" s="144" t="s">
        <v>395</v>
      </c>
      <c r="F279" s="177"/>
      <c r="G279" s="201"/>
      <c r="H279" s="201"/>
      <c r="I279" s="204">
        <v>135000</v>
      </c>
      <c r="J279" s="201"/>
      <c r="K279" s="201"/>
      <c r="L279" s="213"/>
      <c r="M279" s="196"/>
      <c r="N279" s="183" t="s">
        <v>396</v>
      </c>
    </row>
    <row r="280" spans="1:14" s="6" customFormat="1" ht="63.75" x14ac:dyDescent="0.3">
      <c r="A280" s="191"/>
      <c r="B280" s="144" t="s">
        <v>392</v>
      </c>
      <c r="C280" s="175" t="s">
        <v>493</v>
      </c>
      <c r="D280" s="175" t="s">
        <v>494</v>
      </c>
      <c r="E280" s="144" t="s">
        <v>395</v>
      </c>
      <c r="F280" s="177"/>
      <c r="G280" s="201"/>
      <c r="H280" s="201"/>
      <c r="I280" s="204">
        <v>135000</v>
      </c>
      <c r="J280" s="201"/>
      <c r="K280" s="201"/>
      <c r="L280" s="213"/>
      <c r="M280" s="196"/>
      <c r="N280" s="183" t="s">
        <v>396</v>
      </c>
    </row>
    <row r="281" spans="1:14" s="6" customFormat="1" ht="63.75" x14ac:dyDescent="0.3">
      <c r="A281" s="191"/>
      <c r="B281" s="144" t="s">
        <v>392</v>
      </c>
      <c r="C281" s="175" t="s">
        <v>495</v>
      </c>
      <c r="D281" s="175" t="s">
        <v>496</v>
      </c>
      <c r="E281" s="144" t="s">
        <v>395</v>
      </c>
      <c r="F281" s="177"/>
      <c r="G281" s="201"/>
      <c r="H281" s="201"/>
      <c r="I281" s="204">
        <v>720000</v>
      </c>
      <c r="J281" s="201"/>
      <c r="K281" s="201"/>
      <c r="L281" s="213"/>
      <c r="M281" s="196"/>
      <c r="N281" s="183" t="s">
        <v>396</v>
      </c>
    </row>
    <row r="282" spans="1:14" s="6" customFormat="1" ht="38.25" x14ac:dyDescent="0.3">
      <c r="A282" s="191"/>
      <c r="B282" s="144" t="s">
        <v>392</v>
      </c>
      <c r="C282" s="175" t="s">
        <v>497</v>
      </c>
      <c r="D282" s="175" t="s">
        <v>498</v>
      </c>
      <c r="E282" s="144" t="s">
        <v>395</v>
      </c>
      <c r="F282" s="177"/>
      <c r="G282" s="201"/>
      <c r="H282" s="201"/>
      <c r="I282" s="204">
        <v>88500</v>
      </c>
      <c r="J282" s="201"/>
      <c r="K282" s="201"/>
      <c r="L282" s="213"/>
      <c r="M282" s="196"/>
      <c r="N282" s="214"/>
    </row>
    <row r="283" spans="1:14" s="10" customFormat="1" ht="16.5" x14ac:dyDescent="0.3">
      <c r="A283" s="191" t="s">
        <v>499</v>
      </c>
      <c r="B283" s="30"/>
      <c r="C283" s="175"/>
      <c r="D283" s="194"/>
      <c r="E283" s="177"/>
      <c r="F283" s="177"/>
      <c r="G283" s="212"/>
      <c r="H283" s="212"/>
      <c r="I283" s="212"/>
      <c r="J283" s="212"/>
      <c r="K283" s="212"/>
      <c r="L283" s="213"/>
      <c r="M283" s="196"/>
      <c r="N283" s="214"/>
    </row>
    <row r="284" spans="1:14" s="6" customFormat="1" ht="72.75" customHeight="1" x14ac:dyDescent="0.3">
      <c r="A284" s="193" t="s">
        <v>500</v>
      </c>
      <c r="B284" s="144" t="s">
        <v>392</v>
      </c>
      <c r="C284" s="181" t="s">
        <v>501</v>
      </c>
      <c r="D284" s="193" t="s">
        <v>502</v>
      </c>
      <c r="E284" s="144" t="s">
        <v>395</v>
      </c>
      <c r="F284" s="177"/>
      <c r="G284" s="201"/>
      <c r="H284" s="201"/>
      <c r="I284" s="204">
        <v>449760</v>
      </c>
      <c r="J284" s="201"/>
      <c r="K284" s="201"/>
      <c r="L284" s="213"/>
      <c r="M284" s="196"/>
      <c r="N284" s="183" t="s">
        <v>396</v>
      </c>
    </row>
    <row r="285" spans="1:14" s="10" customFormat="1" ht="16.5" x14ac:dyDescent="0.3">
      <c r="A285" s="191" t="s">
        <v>503</v>
      </c>
      <c r="B285" s="30"/>
      <c r="C285" s="175"/>
      <c r="D285" s="194"/>
      <c r="E285" s="177"/>
      <c r="F285" s="177"/>
      <c r="G285" s="212"/>
      <c r="H285" s="212"/>
      <c r="I285" s="219"/>
      <c r="J285" s="212"/>
      <c r="K285" s="212"/>
      <c r="L285" s="213"/>
      <c r="M285" s="196"/>
      <c r="N285" s="214"/>
    </row>
    <row r="286" spans="1:14" s="6" customFormat="1" ht="57.75" customHeight="1" x14ac:dyDescent="0.3">
      <c r="A286" s="193" t="s">
        <v>504</v>
      </c>
      <c r="B286" s="144" t="s">
        <v>392</v>
      </c>
      <c r="C286" s="181" t="s">
        <v>505</v>
      </c>
      <c r="D286" s="193" t="s">
        <v>506</v>
      </c>
      <c r="E286" s="144" t="s">
        <v>395</v>
      </c>
      <c r="F286" s="177"/>
      <c r="G286" s="201"/>
      <c r="H286" s="201"/>
      <c r="I286" s="204">
        <v>448400</v>
      </c>
      <c r="J286" s="201"/>
      <c r="K286" s="201"/>
      <c r="L286" s="213"/>
      <c r="M286" s="196"/>
      <c r="N286" s="183" t="s">
        <v>396</v>
      </c>
    </row>
    <row r="287" spans="1:14" s="10" customFormat="1" ht="16.5" x14ac:dyDescent="0.3">
      <c r="A287" s="220" t="s">
        <v>507</v>
      </c>
      <c r="B287" s="30"/>
      <c r="C287" s="175"/>
      <c r="D287" s="194"/>
      <c r="E287" s="177"/>
      <c r="F287" s="177"/>
      <c r="G287" s="212"/>
      <c r="H287" s="212"/>
      <c r="I287" s="212"/>
      <c r="J287" s="212"/>
      <c r="K287" s="212"/>
      <c r="L287" s="213"/>
      <c r="M287" s="196"/>
      <c r="N287" s="214"/>
    </row>
    <row r="288" spans="1:14" s="6" customFormat="1" ht="54.75" customHeight="1" x14ac:dyDescent="0.3">
      <c r="A288" s="193" t="s">
        <v>507</v>
      </c>
      <c r="B288" s="144" t="s">
        <v>392</v>
      </c>
      <c r="C288" s="181" t="s">
        <v>508</v>
      </c>
      <c r="D288" s="193" t="s">
        <v>509</v>
      </c>
      <c r="E288" s="144" t="s">
        <v>395</v>
      </c>
      <c r="F288" s="177"/>
      <c r="G288" s="201"/>
      <c r="H288" s="201"/>
      <c r="I288" s="204">
        <v>5000000</v>
      </c>
      <c r="J288" s="201"/>
      <c r="K288" s="201"/>
      <c r="L288" s="213"/>
      <c r="M288" s="196"/>
      <c r="N288" s="183" t="s">
        <v>396</v>
      </c>
    </row>
    <row r="289" spans="1:14" s="10" customFormat="1" ht="16.5" x14ac:dyDescent="0.3">
      <c r="A289" s="191" t="s">
        <v>510</v>
      </c>
      <c r="B289" s="30"/>
      <c r="C289" s="175"/>
      <c r="D289" s="194"/>
      <c r="E289" s="177"/>
      <c r="F289" s="177"/>
      <c r="G289" s="212"/>
      <c r="H289" s="212"/>
      <c r="I289" s="212"/>
      <c r="J289" s="212"/>
      <c r="K289" s="212"/>
      <c r="L289" s="213"/>
      <c r="M289" s="196"/>
      <c r="N289" s="214"/>
    </row>
    <row r="290" spans="1:14" s="6" customFormat="1" ht="42" customHeight="1" x14ac:dyDescent="0.3">
      <c r="A290" s="194" t="s">
        <v>511</v>
      </c>
      <c r="B290" s="144" t="s">
        <v>392</v>
      </c>
      <c r="C290" s="194" t="s">
        <v>512</v>
      </c>
      <c r="D290" s="194" t="s">
        <v>513</v>
      </c>
      <c r="E290" s="144" t="s">
        <v>395</v>
      </c>
      <c r="F290" s="177"/>
      <c r="G290" s="201"/>
      <c r="H290" s="201"/>
      <c r="I290" s="204">
        <v>2000000</v>
      </c>
      <c r="J290" s="201"/>
      <c r="K290" s="201"/>
      <c r="L290" s="213"/>
      <c r="M290" s="196"/>
      <c r="N290" s="183" t="s">
        <v>396</v>
      </c>
    </row>
    <row r="291" spans="1:14" s="10" customFormat="1" ht="16.5" x14ac:dyDescent="0.3">
      <c r="A291" s="191" t="s">
        <v>514</v>
      </c>
      <c r="B291" s="30"/>
      <c r="C291" s="175"/>
      <c r="D291" s="194"/>
      <c r="E291" s="177"/>
      <c r="F291" s="177"/>
      <c r="G291" s="212"/>
      <c r="H291" s="212"/>
      <c r="I291" s="212"/>
      <c r="J291" s="212"/>
      <c r="K291" s="212"/>
      <c r="L291" s="213"/>
      <c r="M291" s="196"/>
      <c r="N291" s="214"/>
    </row>
    <row r="292" spans="1:14" s="6" customFormat="1" ht="89.25" x14ac:dyDescent="0.3">
      <c r="A292" s="193" t="s">
        <v>514</v>
      </c>
      <c r="B292" s="144" t="s">
        <v>392</v>
      </c>
      <c r="C292" s="193" t="s">
        <v>515</v>
      </c>
      <c r="D292" s="193" t="s">
        <v>516</v>
      </c>
      <c r="E292" s="144" t="s">
        <v>395</v>
      </c>
      <c r="F292" s="177"/>
      <c r="G292" s="201"/>
      <c r="H292" s="201"/>
      <c r="I292" s="204">
        <v>5000000</v>
      </c>
      <c r="J292" s="201"/>
      <c r="K292" s="201"/>
      <c r="L292" s="213"/>
      <c r="M292" s="196"/>
      <c r="N292" s="183" t="s">
        <v>396</v>
      </c>
    </row>
    <row r="293" spans="1:14" s="10" customFormat="1" ht="16.5" x14ac:dyDescent="0.3">
      <c r="A293" s="191" t="s">
        <v>517</v>
      </c>
      <c r="B293" s="30"/>
      <c r="C293" s="175"/>
      <c r="D293" s="194"/>
      <c r="E293" s="177"/>
      <c r="F293" s="177"/>
      <c r="G293" s="212"/>
      <c r="H293" s="212"/>
      <c r="I293" s="212"/>
      <c r="J293" s="212"/>
      <c r="K293" s="212"/>
      <c r="L293" s="213"/>
      <c r="M293" s="196"/>
      <c r="N293" s="214"/>
    </row>
    <row r="294" spans="1:14" s="6" customFormat="1" ht="45.75" customHeight="1" x14ac:dyDescent="0.3">
      <c r="A294" s="194" t="s">
        <v>517</v>
      </c>
      <c r="B294" s="144" t="s">
        <v>392</v>
      </c>
      <c r="C294" s="194" t="s">
        <v>518</v>
      </c>
      <c r="D294" s="194" t="s">
        <v>519</v>
      </c>
      <c r="E294" s="144" t="s">
        <v>395</v>
      </c>
      <c r="F294" s="177"/>
      <c r="G294" s="201"/>
      <c r="H294" s="201"/>
      <c r="I294" s="204">
        <v>800000</v>
      </c>
      <c r="J294" s="201"/>
      <c r="K294" s="201"/>
      <c r="L294" s="213"/>
      <c r="M294" s="196"/>
      <c r="N294" s="183" t="s">
        <v>396</v>
      </c>
    </row>
    <row r="295" spans="1:14" s="6" customFormat="1" ht="63.75" x14ac:dyDescent="0.3">
      <c r="A295" s="194"/>
      <c r="B295" s="144" t="s">
        <v>392</v>
      </c>
      <c r="C295" s="194" t="s">
        <v>520</v>
      </c>
      <c r="D295" s="194" t="s">
        <v>521</v>
      </c>
      <c r="E295" s="144" t="s">
        <v>395</v>
      </c>
      <c r="F295" s="177"/>
      <c r="G295" s="201"/>
      <c r="H295" s="201"/>
      <c r="I295" s="204">
        <v>100000</v>
      </c>
      <c r="J295" s="201"/>
      <c r="K295" s="201"/>
      <c r="L295" s="213"/>
      <c r="M295" s="196"/>
      <c r="N295" s="183" t="s">
        <v>396</v>
      </c>
    </row>
    <row r="296" spans="1:14" s="10" customFormat="1" ht="16.5" x14ac:dyDescent="0.3">
      <c r="A296" s="191" t="s">
        <v>522</v>
      </c>
      <c r="B296" s="30"/>
      <c r="C296" s="175"/>
      <c r="D296" s="194"/>
      <c r="E296" s="177"/>
      <c r="F296" s="177"/>
      <c r="G296" s="212"/>
      <c r="H296" s="212"/>
      <c r="I296" s="212"/>
      <c r="J296" s="212"/>
      <c r="K296" s="212"/>
      <c r="L296" s="213"/>
      <c r="M296" s="196"/>
      <c r="N296" s="214"/>
    </row>
    <row r="297" spans="1:14" s="6" customFormat="1" ht="96.75" customHeight="1" x14ac:dyDescent="0.3">
      <c r="A297" s="194" t="s">
        <v>523</v>
      </c>
      <c r="B297" s="144" t="s">
        <v>392</v>
      </c>
      <c r="C297" s="194" t="s">
        <v>524</v>
      </c>
      <c r="D297" s="194" t="s">
        <v>525</v>
      </c>
      <c r="E297" s="144" t="s">
        <v>395</v>
      </c>
      <c r="F297" s="177"/>
      <c r="G297" s="201"/>
      <c r="H297" s="201"/>
      <c r="I297" s="204">
        <v>3498600</v>
      </c>
      <c r="J297" s="201"/>
      <c r="K297" s="201"/>
      <c r="L297" s="213"/>
      <c r="M297" s="196"/>
      <c r="N297" s="183" t="s">
        <v>396</v>
      </c>
    </row>
    <row r="298" spans="1:14" s="6" customFormat="1" ht="71.25" customHeight="1" x14ac:dyDescent="0.3">
      <c r="A298" s="194" t="s">
        <v>526</v>
      </c>
      <c r="B298" s="144" t="s">
        <v>392</v>
      </c>
      <c r="C298" s="194" t="s">
        <v>527</v>
      </c>
      <c r="D298" s="194" t="s">
        <v>528</v>
      </c>
      <c r="E298" s="144" t="s">
        <v>395</v>
      </c>
      <c r="F298" s="177"/>
      <c r="G298" s="201"/>
      <c r="H298" s="201"/>
      <c r="I298" s="204">
        <v>1000000</v>
      </c>
      <c r="J298" s="201"/>
      <c r="K298" s="201"/>
      <c r="L298" s="213"/>
      <c r="M298" s="196"/>
      <c r="N298" s="183" t="s">
        <v>396</v>
      </c>
    </row>
    <row r="299" spans="1:14" s="10" customFormat="1" ht="16.5" x14ac:dyDescent="0.3">
      <c r="A299" s="191" t="s">
        <v>529</v>
      </c>
      <c r="B299" s="30"/>
      <c r="C299" s="175"/>
      <c r="D299" s="194"/>
      <c r="E299" s="177"/>
      <c r="F299" s="177"/>
      <c r="G299" s="212"/>
      <c r="H299" s="212"/>
      <c r="I299" s="212"/>
      <c r="J299" s="212"/>
      <c r="K299" s="212"/>
      <c r="L299" s="213"/>
      <c r="M299" s="196"/>
      <c r="N299" s="214"/>
    </row>
    <row r="300" spans="1:14" s="6" customFormat="1" ht="72" customHeight="1" x14ac:dyDescent="0.3">
      <c r="A300" s="194" t="s">
        <v>529</v>
      </c>
      <c r="B300" s="144" t="s">
        <v>392</v>
      </c>
      <c r="C300" s="175" t="s">
        <v>530</v>
      </c>
      <c r="D300" s="175" t="s">
        <v>531</v>
      </c>
      <c r="E300" s="144" t="s">
        <v>395</v>
      </c>
      <c r="F300" s="177"/>
      <c r="G300" s="201"/>
      <c r="H300" s="201"/>
      <c r="I300" s="204">
        <v>90000</v>
      </c>
      <c r="J300" s="201"/>
      <c r="K300" s="201"/>
      <c r="L300" s="213"/>
      <c r="M300" s="196"/>
      <c r="N300" s="183" t="s">
        <v>396</v>
      </c>
    </row>
    <row r="301" spans="1:14" s="10" customFormat="1" ht="16.5" x14ac:dyDescent="0.3">
      <c r="A301" s="220" t="s">
        <v>532</v>
      </c>
      <c r="B301" s="30"/>
      <c r="C301" s="221"/>
      <c r="D301" s="43"/>
      <c r="E301" s="30"/>
      <c r="F301" s="30"/>
      <c r="G301" s="212"/>
      <c r="H301" s="212"/>
      <c r="I301" s="212"/>
      <c r="J301" s="212"/>
      <c r="K301" s="212"/>
      <c r="L301" s="222"/>
      <c r="M301" s="223"/>
      <c r="N301" s="224"/>
    </row>
    <row r="302" spans="1:14" s="6" customFormat="1" ht="38.25" x14ac:dyDescent="0.3">
      <c r="A302" s="193" t="s">
        <v>532</v>
      </c>
      <c r="B302" s="144" t="s">
        <v>392</v>
      </c>
      <c r="C302" s="181" t="s">
        <v>533</v>
      </c>
      <c r="D302" s="181" t="s">
        <v>534</v>
      </c>
      <c r="E302" s="144" t="s">
        <v>395</v>
      </c>
      <c r="F302" s="193"/>
      <c r="G302" s="193"/>
      <c r="H302" s="201"/>
      <c r="I302" s="202">
        <v>700000</v>
      </c>
      <c r="J302" s="201"/>
      <c r="K302" s="201"/>
      <c r="L302" s="225"/>
      <c r="M302" s="226"/>
      <c r="N302" s="183" t="s">
        <v>396</v>
      </c>
    </row>
    <row r="303" spans="1:14" s="6" customFormat="1" ht="38.25" x14ac:dyDescent="0.3">
      <c r="A303" s="193"/>
      <c r="B303" s="144"/>
      <c r="C303" s="181" t="s">
        <v>535</v>
      </c>
      <c r="D303" s="181" t="s">
        <v>536</v>
      </c>
      <c r="E303" s="144" t="s">
        <v>395</v>
      </c>
      <c r="F303" s="193"/>
      <c r="G303" s="193"/>
      <c r="H303" s="201"/>
      <c r="I303" s="202">
        <v>100000</v>
      </c>
      <c r="J303" s="201"/>
      <c r="K303" s="201"/>
      <c r="L303" s="225"/>
      <c r="M303" s="226"/>
      <c r="N303" s="183" t="s">
        <v>396</v>
      </c>
    </row>
    <row r="304" spans="1:14" s="10" customFormat="1" ht="16.5" x14ac:dyDescent="0.3">
      <c r="A304" s="227" t="s">
        <v>412</v>
      </c>
      <c r="B304" s="227"/>
      <c r="C304" s="228"/>
      <c r="D304" s="227"/>
      <c r="E304" s="229"/>
      <c r="F304" s="187"/>
      <c r="G304" s="230"/>
      <c r="H304" s="230"/>
      <c r="I304" s="231">
        <f>SUM(I251:I303)</f>
        <v>38330228.140000001</v>
      </c>
      <c r="J304" s="230"/>
      <c r="K304" s="230"/>
      <c r="L304" s="211"/>
      <c r="M304" s="189"/>
      <c r="N304" s="187"/>
    </row>
    <row r="305" spans="1:14" s="10" customFormat="1" ht="16.5" x14ac:dyDescent="0.3">
      <c r="A305" s="191" t="s">
        <v>537</v>
      </c>
      <c r="B305" s="191"/>
      <c r="C305" s="232"/>
      <c r="D305" s="194"/>
      <c r="E305" s="177"/>
      <c r="F305" s="177"/>
      <c r="G305" s="175"/>
      <c r="H305" s="175"/>
      <c r="I305" s="175"/>
      <c r="J305" s="175"/>
      <c r="K305" s="175"/>
      <c r="L305" s="179"/>
      <c r="M305" s="196"/>
      <c r="N305" s="214"/>
    </row>
    <row r="306" spans="1:14" s="6" customFormat="1" ht="57" customHeight="1" x14ac:dyDescent="0.3">
      <c r="A306" s="193" t="s">
        <v>538</v>
      </c>
      <c r="B306" s="144" t="s">
        <v>392</v>
      </c>
      <c r="C306" s="181" t="s">
        <v>539</v>
      </c>
      <c r="D306" s="181" t="s">
        <v>540</v>
      </c>
      <c r="E306" s="144" t="s">
        <v>395</v>
      </c>
      <c r="F306" s="238"/>
      <c r="G306" s="183"/>
      <c r="H306" s="181"/>
      <c r="I306" s="233">
        <v>270000</v>
      </c>
      <c r="J306" s="181"/>
      <c r="K306" s="181"/>
      <c r="L306" s="225"/>
      <c r="M306" s="208"/>
      <c r="N306" s="183" t="s">
        <v>396</v>
      </c>
    </row>
    <row r="307" spans="1:14" s="6" customFormat="1" ht="44.25" customHeight="1" x14ac:dyDescent="0.3">
      <c r="A307" s="193"/>
      <c r="B307" s="193"/>
      <c r="C307" s="193" t="s">
        <v>541</v>
      </c>
      <c r="D307" s="193" t="s">
        <v>541</v>
      </c>
      <c r="E307" s="144" t="s">
        <v>395</v>
      </c>
      <c r="F307" s="238"/>
      <c r="G307" s="183"/>
      <c r="H307" s="193"/>
      <c r="I307" s="234">
        <v>180000</v>
      </c>
      <c r="J307" s="193"/>
      <c r="K307" s="193"/>
      <c r="L307" s="225"/>
      <c r="M307" s="208"/>
      <c r="N307" s="183" t="s">
        <v>396</v>
      </c>
    </row>
    <row r="308" spans="1:14" s="10" customFormat="1" ht="24.75" customHeight="1" x14ac:dyDescent="0.3">
      <c r="A308" s="227" t="s">
        <v>542</v>
      </c>
      <c r="B308" s="227"/>
      <c r="C308" s="235"/>
      <c r="D308" s="227"/>
      <c r="E308" s="229"/>
      <c r="F308" s="187"/>
      <c r="G308" s="230"/>
      <c r="H308" s="230"/>
      <c r="I308" s="231">
        <f>SUM(I306:I307)</f>
        <v>450000</v>
      </c>
      <c r="J308" s="230"/>
      <c r="K308" s="230"/>
      <c r="L308" s="211"/>
      <c r="M308" s="189"/>
      <c r="N308" s="190"/>
    </row>
    <row r="309" spans="1:14" s="10" customFormat="1" ht="16.5" x14ac:dyDescent="0.3">
      <c r="A309" s="191" t="s">
        <v>543</v>
      </c>
      <c r="B309" s="191"/>
      <c r="C309" s="194"/>
      <c r="D309" s="194"/>
      <c r="E309" s="236"/>
      <c r="F309" s="236"/>
      <c r="G309" s="237"/>
      <c r="H309" s="237"/>
      <c r="I309" s="237"/>
      <c r="J309" s="237"/>
      <c r="K309" s="237"/>
      <c r="L309" s="213"/>
      <c r="M309" s="196"/>
      <c r="N309" s="195"/>
    </row>
    <row r="310" spans="1:14" s="6" customFormat="1" ht="38.25" x14ac:dyDescent="0.3">
      <c r="A310" s="193" t="s">
        <v>544</v>
      </c>
      <c r="B310" s="238" t="s">
        <v>392</v>
      </c>
      <c r="C310" s="181" t="s">
        <v>393</v>
      </c>
      <c r="D310" s="193" t="s">
        <v>394</v>
      </c>
      <c r="E310" s="144" t="s">
        <v>395</v>
      </c>
      <c r="F310" s="144"/>
      <c r="G310" s="183"/>
      <c r="H310" s="183"/>
      <c r="I310" s="183">
        <v>56000</v>
      </c>
      <c r="J310" s="183"/>
      <c r="K310" s="183"/>
      <c r="L310" s="203"/>
      <c r="M310" s="208"/>
      <c r="N310" s="183" t="s">
        <v>396</v>
      </c>
    </row>
    <row r="311" spans="1:14" s="6" customFormat="1" ht="43.5" customHeight="1" x14ac:dyDescent="0.3">
      <c r="A311" s="193" t="s">
        <v>545</v>
      </c>
      <c r="B311" s="238" t="s">
        <v>392</v>
      </c>
      <c r="C311" s="181" t="s">
        <v>393</v>
      </c>
      <c r="D311" s="193" t="s">
        <v>394</v>
      </c>
      <c r="E311" s="144" t="s">
        <v>395</v>
      </c>
      <c r="F311" s="144"/>
      <c r="G311" s="183"/>
      <c r="H311" s="183"/>
      <c r="I311" s="183">
        <v>50000</v>
      </c>
      <c r="J311" s="183"/>
      <c r="K311" s="183"/>
      <c r="L311" s="203"/>
      <c r="M311" s="208"/>
      <c r="N311" s="183" t="s">
        <v>396</v>
      </c>
    </row>
    <row r="312" spans="1:14" s="6" customFormat="1" ht="57.75" customHeight="1" x14ac:dyDescent="0.3">
      <c r="A312" s="193" t="s">
        <v>546</v>
      </c>
      <c r="B312" s="238" t="s">
        <v>392</v>
      </c>
      <c r="C312" s="181" t="s">
        <v>393</v>
      </c>
      <c r="D312" s="193" t="s">
        <v>394</v>
      </c>
      <c r="E312" s="144" t="s">
        <v>395</v>
      </c>
      <c r="F312" s="144"/>
      <c r="G312" s="201"/>
      <c r="H312" s="183"/>
      <c r="I312" s="183">
        <v>50000</v>
      </c>
      <c r="J312" s="183"/>
      <c r="K312" s="183"/>
      <c r="L312" s="203"/>
      <c r="M312" s="208"/>
      <c r="N312" s="183" t="s">
        <v>396</v>
      </c>
    </row>
    <row r="313" spans="1:14" s="6" customFormat="1" ht="47.25" customHeight="1" x14ac:dyDescent="0.3">
      <c r="A313" s="193" t="s">
        <v>547</v>
      </c>
      <c r="B313" s="238" t="s">
        <v>392</v>
      </c>
      <c r="C313" s="181" t="s">
        <v>393</v>
      </c>
      <c r="D313" s="193" t="s">
        <v>394</v>
      </c>
      <c r="E313" s="144" t="s">
        <v>395</v>
      </c>
      <c r="F313" s="144"/>
      <c r="G313" s="183"/>
      <c r="H313" s="183"/>
      <c r="I313" s="183">
        <v>100000</v>
      </c>
      <c r="J313" s="183"/>
      <c r="K313" s="183"/>
      <c r="L313" s="203"/>
      <c r="M313" s="208"/>
      <c r="N313" s="183" t="s">
        <v>396</v>
      </c>
    </row>
    <row r="314" spans="1:14" s="6" customFormat="1" ht="43.5" customHeight="1" x14ac:dyDescent="0.3">
      <c r="A314" s="193" t="s">
        <v>548</v>
      </c>
      <c r="B314" s="238" t="s">
        <v>392</v>
      </c>
      <c r="C314" s="181" t="s">
        <v>393</v>
      </c>
      <c r="D314" s="193" t="s">
        <v>394</v>
      </c>
      <c r="E314" s="144" t="s">
        <v>395</v>
      </c>
      <c r="F314" s="144"/>
      <c r="G314" s="183"/>
      <c r="H314" s="183"/>
      <c r="I314" s="183">
        <v>100000</v>
      </c>
      <c r="J314" s="183"/>
      <c r="K314" s="183"/>
      <c r="L314" s="203"/>
      <c r="M314" s="208"/>
      <c r="N314" s="183" t="s">
        <v>396</v>
      </c>
    </row>
    <row r="315" spans="1:14" s="6" customFormat="1" ht="63.75" x14ac:dyDescent="0.3">
      <c r="A315" s="181" t="s">
        <v>549</v>
      </c>
      <c r="B315" s="238" t="s">
        <v>392</v>
      </c>
      <c r="C315" s="181" t="s">
        <v>393</v>
      </c>
      <c r="D315" s="193" t="s">
        <v>394</v>
      </c>
      <c r="E315" s="144" t="s">
        <v>395</v>
      </c>
      <c r="F315" s="144"/>
      <c r="G315" s="183"/>
      <c r="H315" s="239"/>
      <c r="I315" s="239">
        <v>89600</v>
      </c>
      <c r="J315" s="239"/>
      <c r="K315" s="239"/>
      <c r="L315" s="144"/>
      <c r="M315" s="207"/>
      <c r="N315" s="183" t="s">
        <v>396</v>
      </c>
    </row>
    <row r="316" spans="1:14" s="10" customFormat="1" ht="16.5" x14ac:dyDescent="0.3">
      <c r="A316" s="240" t="s">
        <v>542</v>
      </c>
      <c r="B316" s="240"/>
      <c r="C316" s="241"/>
      <c r="D316" s="242"/>
      <c r="E316" s="243"/>
      <c r="F316" s="244"/>
      <c r="G316" s="245"/>
      <c r="H316" s="245"/>
      <c r="I316" s="246">
        <f>SUM(I310:I315)</f>
        <v>445600</v>
      </c>
      <c r="J316" s="246">
        <f t="shared" ref="J316:N316" si="1">SUM(J310:J315)</f>
        <v>0</v>
      </c>
      <c r="K316" s="246">
        <f t="shared" si="1"/>
        <v>0</v>
      </c>
      <c r="L316" s="246">
        <f t="shared" si="1"/>
        <v>0</v>
      </c>
      <c r="M316" s="246">
        <f t="shared" si="1"/>
        <v>0</v>
      </c>
      <c r="N316" s="246">
        <f t="shared" si="1"/>
        <v>0</v>
      </c>
    </row>
    <row r="317" spans="1:14" s="10" customFormat="1" ht="16.5" x14ac:dyDescent="0.3">
      <c r="A317" s="247" t="s">
        <v>550</v>
      </c>
      <c r="B317" s="247"/>
      <c r="C317" s="232"/>
      <c r="D317" s="248"/>
      <c r="E317" s="236"/>
      <c r="F317" s="236"/>
      <c r="G317" s="237"/>
      <c r="H317" s="237"/>
      <c r="I317" s="237"/>
      <c r="J317" s="237"/>
      <c r="K317" s="237"/>
      <c r="L317" s="179"/>
      <c r="M317" s="196"/>
      <c r="N317" s="214"/>
    </row>
    <row r="318" spans="1:14" s="6" customFormat="1" ht="57" customHeight="1" x14ac:dyDescent="0.3">
      <c r="A318" s="193" t="s">
        <v>551</v>
      </c>
      <c r="B318" s="238" t="s">
        <v>392</v>
      </c>
      <c r="C318" s="181" t="s">
        <v>552</v>
      </c>
      <c r="D318" s="193" t="s">
        <v>394</v>
      </c>
      <c r="E318" s="144" t="s">
        <v>395</v>
      </c>
      <c r="F318" s="144"/>
      <c r="G318" s="144"/>
      <c r="H318" s="144"/>
      <c r="I318" s="202">
        <v>100000</v>
      </c>
      <c r="J318" s="144"/>
      <c r="K318" s="144"/>
      <c r="L318" s="203"/>
      <c r="M318" s="204"/>
      <c r="N318" s="183" t="s">
        <v>396</v>
      </c>
    </row>
    <row r="319" spans="1:14" s="6" customFormat="1" ht="38.25" x14ac:dyDescent="0.3">
      <c r="A319" s="249" t="s">
        <v>553</v>
      </c>
      <c r="B319" s="238" t="s">
        <v>392</v>
      </c>
      <c r="C319" s="181" t="s">
        <v>554</v>
      </c>
      <c r="D319" s="193" t="s">
        <v>394</v>
      </c>
      <c r="E319" s="144" t="s">
        <v>395</v>
      </c>
      <c r="F319" s="144"/>
      <c r="G319" s="144"/>
      <c r="H319" s="250"/>
      <c r="I319" s="251">
        <v>100000</v>
      </c>
      <c r="J319" s="250"/>
      <c r="K319" s="250"/>
      <c r="L319" s="252"/>
      <c r="M319" s="204"/>
      <c r="N319" s="183" t="s">
        <v>396</v>
      </c>
    </row>
    <row r="320" spans="1:14" s="10" customFormat="1" ht="16.5" x14ac:dyDescent="0.3">
      <c r="A320" s="240" t="s">
        <v>542</v>
      </c>
      <c r="B320" s="240"/>
      <c r="C320" s="253"/>
      <c r="D320" s="242"/>
      <c r="E320" s="254"/>
      <c r="F320" s="244"/>
      <c r="G320" s="255"/>
      <c r="H320" s="255"/>
      <c r="I320" s="246">
        <f>SUM(I318:I319)</f>
        <v>200000</v>
      </c>
      <c r="J320" s="255"/>
      <c r="K320" s="255"/>
      <c r="L320" s="256"/>
      <c r="M320" s="257"/>
      <c r="N320" s="258"/>
    </row>
    <row r="321" spans="1:14" s="10" customFormat="1" ht="16.5" x14ac:dyDescent="0.3">
      <c r="A321" s="259" t="s">
        <v>555</v>
      </c>
      <c r="B321" s="259"/>
      <c r="C321" s="175"/>
      <c r="D321" s="43"/>
      <c r="E321" s="177"/>
      <c r="F321" s="177"/>
      <c r="G321" s="30"/>
      <c r="H321" s="30"/>
      <c r="I321" s="30"/>
      <c r="J321" s="30"/>
      <c r="K321" s="30"/>
      <c r="L321" s="179"/>
      <c r="M321" s="196"/>
      <c r="N321" s="212"/>
    </row>
    <row r="322" spans="1:14" s="6" customFormat="1" ht="44.25" customHeight="1" x14ac:dyDescent="0.3">
      <c r="A322" s="181" t="s">
        <v>556</v>
      </c>
      <c r="B322" s="238" t="s">
        <v>392</v>
      </c>
      <c r="C322" s="181" t="s">
        <v>556</v>
      </c>
      <c r="D322" s="181" t="s">
        <v>557</v>
      </c>
      <c r="E322" s="144" t="s">
        <v>395</v>
      </c>
      <c r="F322" s="144"/>
      <c r="G322" s="144"/>
      <c r="H322" s="144"/>
      <c r="I322" s="202">
        <v>100000</v>
      </c>
      <c r="J322" s="144"/>
      <c r="K322" s="144"/>
      <c r="L322" s="203"/>
      <c r="M322" s="208"/>
      <c r="N322" s="183" t="s">
        <v>396</v>
      </c>
    </row>
    <row r="323" spans="1:14" s="6" customFormat="1" ht="43.5" customHeight="1" x14ac:dyDescent="0.3">
      <c r="A323" s="249" t="s">
        <v>558</v>
      </c>
      <c r="B323" s="238" t="s">
        <v>392</v>
      </c>
      <c r="C323" s="181" t="s">
        <v>559</v>
      </c>
      <c r="D323" s="193" t="s">
        <v>560</v>
      </c>
      <c r="E323" s="144" t="s">
        <v>395</v>
      </c>
      <c r="F323" s="238"/>
      <c r="G323" s="250"/>
      <c r="H323" s="250"/>
      <c r="I323" s="251">
        <v>1700000</v>
      </c>
      <c r="J323" s="250"/>
      <c r="K323" s="250"/>
      <c r="L323" s="252"/>
      <c r="M323" s="208"/>
      <c r="N323" s="183" t="s">
        <v>396</v>
      </c>
    </row>
    <row r="324" spans="1:14" s="6" customFormat="1" ht="46.5" customHeight="1" x14ac:dyDescent="0.3">
      <c r="A324" s="249" t="s">
        <v>561</v>
      </c>
      <c r="B324" s="238" t="s">
        <v>392</v>
      </c>
      <c r="C324" s="181" t="s">
        <v>562</v>
      </c>
      <c r="D324" s="181" t="s">
        <v>563</v>
      </c>
      <c r="E324" s="144" t="s">
        <v>395</v>
      </c>
      <c r="F324" s="238"/>
      <c r="G324" s="193"/>
      <c r="H324" s="250"/>
      <c r="I324" s="251">
        <v>1500000</v>
      </c>
      <c r="J324" s="250"/>
      <c r="K324" s="250"/>
      <c r="L324" s="252"/>
      <c r="M324" s="204"/>
      <c r="N324" s="183" t="s">
        <v>396</v>
      </c>
    </row>
    <row r="325" spans="1:14" s="6" customFormat="1" ht="38.25" x14ac:dyDescent="0.3">
      <c r="A325" s="249" t="s">
        <v>564</v>
      </c>
      <c r="B325" s="238" t="s">
        <v>392</v>
      </c>
      <c r="C325" s="181" t="s">
        <v>565</v>
      </c>
      <c r="D325" s="181" t="s">
        <v>566</v>
      </c>
      <c r="E325" s="144" t="s">
        <v>395</v>
      </c>
      <c r="F325" s="238"/>
      <c r="G325" s="250"/>
      <c r="H325" s="250"/>
      <c r="I325" s="251">
        <v>1399000</v>
      </c>
      <c r="J325" s="250"/>
      <c r="K325" s="250"/>
      <c r="L325" s="252"/>
      <c r="M325" s="208"/>
      <c r="N325" s="183" t="s">
        <v>396</v>
      </c>
    </row>
    <row r="326" spans="1:14" s="6" customFormat="1" ht="41.25" customHeight="1" x14ac:dyDescent="0.3">
      <c r="A326" s="249" t="s">
        <v>567</v>
      </c>
      <c r="B326" s="238" t="s">
        <v>392</v>
      </c>
      <c r="C326" s="181" t="s">
        <v>568</v>
      </c>
      <c r="D326" s="181" t="s">
        <v>569</v>
      </c>
      <c r="E326" s="144" t="s">
        <v>395</v>
      </c>
      <c r="F326" s="238"/>
      <c r="G326" s="250"/>
      <c r="H326" s="250"/>
      <c r="I326" s="251">
        <v>78000</v>
      </c>
      <c r="J326" s="250"/>
      <c r="K326" s="250"/>
      <c r="L326" s="252"/>
      <c r="M326" s="208"/>
      <c r="N326" s="183" t="s">
        <v>396</v>
      </c>
    </row>
    <row r="327" spans="1:14" s="6" customFormat="1" ht="38.25" x14ac:dyDescent="0.3">
      <c r="A327" s="249" t="s">
        <v>570</v>
      </c>
      <c r="B327" s="238" t="s">
        <v>392</v>
      </c>
      <c r="C327" s="181" t="s">
        <v>571</v>
      </c>
      <c r="D327" s="181" t="s">
        <v>572</v>
      </c>
      <c r="E327" s="144" t="s">
        <v>395</v>
      </c>
      <c r="F327" s="238"/>
      <c r="G327" s="250"/>
      <c r="H327" s="250"/>
      <c r="I327" s="251">
        <v>75000</v>
      </c>
      <c r="J327" s="250"/>
      <c r="K327" s="250"/>
      <c r="L327" s="252"/>
      <c r="M327" s="208"/>
      <c r="N327" s="183" t="s">
        <v>396</v>
      </c>
    </row>
    <row r="328" spans="1:14" s="6" customFormat="1" ht="38.25" x14ac:dyDescent="0.3">
      <c r="A328" s="249" t="s">
        <v>573</v>
      </c>
      <c r="B328" s="238" t="s">
        <v>392</v>
      </c>
      <c r="C328" s="181" t="s">
        <v>574</v>
      </c>
      <c r="D328" s="181" t="s">
        <v>575</v>
      </c>
      <c r="E328" s="144" t="s">
        <v>395</v>
      </c>
      <c r="F328" s="238"/>
      <c r="G328" s="250"/>
      <c r="H328" s="250"/>
      <c r="I328" s="251">
        <v>15000</v>
      </c>
      <c r="J328" s="250"/>
      <c r="K328" s="250"/>
      <c r="L328" s="252"/>
      <c r="M328" s="208"/>
      <c r="N328" s="183" t="s">
        <v>396</v>
      </c>
    </row>
    <row r="329" spans="1:14" s="6" customFormat="1" ht="38.25" x14ac:dyDescent="0.3">
      <c r="A329" s="249" t="s">
        <v>576</v>
      </c>
      <c r="B329" s="238" t="s">
        <v>392</v>
      </c>
      <c r="C329" s="181" t="s">
        <v>577</v>
      </c>
      <c r="D329" s="181" t="s">
        <v>578</v>
      </c>
      <c r="E329" s="144" t="s">
        <v>395</v>
      </c>
      <c r="F329" s="238"/>
      <c r="G329" s="193"/>
      <c r="H329" s="193"/>
      <c r="I329" s="234">
        <v>500000</v>
      </c>
      <c r="J329" s="193"/>
      <c r="K329" s="193"/>
      <c r="L329" s="252"/>
      <c r="M329" s="260"/>
      <c r="N329" s="183" t="s">
        <v>396</v>
      </c>
    </row>
    <row r="330" spans="1:14" s="6" customFormat="1" ht="42.75" customHeight="1" x14ac:dyDescent="0.3">
      <c r="A330" s="249" t="s">
        <v>579</v>
      </c>
      <c r="B330" s="238" t="s">
        <v>392</v>
      </c>
      <c r="C330" s="181" t="s">
        <v>577</v>
      </c>
      <c r="D330" s="181" t="s">
        <v>580</v>
      </c>
      <c r="E330" s="144" t="s">
        <v>395</v>
      </c>
      <c r="F330" s="238"/>
      <c r="G330" s="193"/>
      <c r="H330" s="193"/>
      <c r="I330" s="234">
        <v>100000</v>
      </c>
      <c r="J330" s="193"/>
      <c r="K330" s="193"/>
      <c r="L330" s="252"/>
      <c r="M330" s="260"/>
      <c r="N330" s="183" t="s">
        <v>396</v>
      </c>
    </row>
    <row r="331" spans="1:14" s="6" customFormat="1" ht="39" customHeight="1" x14ac:dyDescent="0.3">
      <c r="A331" s="249" t="s">
        <v>581</v>
      </c>
      <c r="B331" s="238" t="s">
        <v>392</v>
      </c>
      <c r="C331" s="181" t="s">
        <v>582</v>
      </c>
      <c r="D331" s="181" t="s">
        <v>583</v>
      </c>
      <c r="E331" s="144" t="s">
        <v>395</v>
      </c>
      <c r="F331" s="238"/>
      <c r="G331" s="193"/>
      <c r="H331" s="193"/>
      <c r="I331" s="234">
        <v>100000</v>
      </c>
      <c r="J331" s="193"/>
      <c r="K331" s="193"/>
      <c r="L331" s="252"/>
      <c r="M331" s="260"/>
      <c r="N331" s="183" t="s">
        <v>396</v>
      </c>
    </row>
    <row r="332" spans="1:14" s="6" customFormat="1" ht="51" x14ac:dyDescent="0.3">
      <c r="A332" s="261" t="s">
        <v>584</v>
      </c>
      <c r="B332" s="238" t="s">
        <v>392</v>
      </c>
      <c r="C332" s="181" t="s">
        <v>585</v>
      </c>
      <c r="D332" s="181" t="s">
        <v>586</v>
      </c>
      <c r="E332" s="144" t="s">
        <v>395</v>
      </c>
      <c r="F332" s="238"/>
      <c r="G332" s="250"/>
      <c r="H332" s="250"/>
      <c r="I332" s="251">
        <v>600000</v>
      </c>
      <c r="J332" s="250"/>
      <c r="K332" s="250"/>
      <c r="L332" s="252"/>
      <c r="M332" s="208"/>
      <c r="N332" s="183" t="s">
        <v>396</v>
      </c>
    </row>
    <row r="333" spans="1:14" s="10" customFormat="1" ht="16.5" x14ac:dyDescent="0.3">
      <c r="A333" s="240" t="s">
        <v>542</v>
      </c>
      <c r="B333" s="240"/>
      <c r="C333" s="253"/>
      <c r="D333" s="242"/>
      <c r="E333" s="254"/>
      <c r="F333" s="254"/>
      <c r="G333" s="255"/>
      <c r="H333" s="255"/>
      <c r="I333" s="246">
        <f>SUM(I322:I332)</f>
        <v>6167000</v>
      </c>
      <c r="J333" s="255"/>
      <c r="K333" s="255"/>
      <c r="L333" s="256"/>
      <c r="M333" s="257"/>
      <c r="N333" s="258"/>
    </row>
    <row r="334" spans="1:14" s="10" customFormat="1" ht="16.5" x14ac:dyDescent="0.3">
      <c r="A334" s="262"/>
      <c r="B334" s="262"/>
      <c r="C334" s="175"/>
      <c r="D334" s="194"/>
      <c r="E334" s="263"/>
      <c r="F334" s="263"/>
      <c r="G334" s="192"/>
      <c r="H334" s="192"/>
      <c r="I334" s="192"/>
      <c r="J334" s="192"/>
      <c r="K334" s="192"/>
      <c r="L334" s="264"/>
      <c r="M334" s="196"/>
      <c r="N334" s="214"/>
    </row>
    <row r="335" spans="1:14" s="10" customFormat="1" ht="16.5" x14ac:dyDescent="0.3">
      <c r="A335" s="265" t="s">
        <v>587</v>
      </c>
      <c r="B335" s="265"/>
      <c r="C335" s="266"/>
      <c r="D335" s="266"/>
      <c r="E335" s="267"/>
      <c r="F335" s="267"/>
      <c r="G335" s="265"/>
      <c r="H335" s="265"/>
      <c r="I335" s="268">
        <f>I333+I320+I316+I308+I304+I248+I216</f>
        <v>48002828.140000001</v>
      </c>
      <c r="J335" s="265"/>
      <c r="K335" s="265"/>
      <c r="L335" s="269"/>
      <c r="M335" s="270"/>
      <c r="N335" s="271"/>
    </row>
    <row r="336" spans="1:14" s="6" customFormat="1" ht="30" customHeight="1" x14ac:dyDescent="0.3">
      <c r="A336" s="16" t="s">
        <v>589</v>
      </c>
      <c r="B336" s="16"/>
      <c r="C336" s="16"/>
      <c r="D336" s="16"/>
      <c r="E336" s="16"/>
      <c r="F336" s="16"/>
      <c r="G336" s="16"/>
      <c r="H336" s="16"/>
      <c r="I336" s="16"/>
      <c r="J336" s="16"/>
      <c r="K336" s="16"/>
      <c r="L336" s="16"/>
      <c r="M336" s="16"/>
      <c r="N336" s="17"/>
    </row>
    <row r="337" spans="1:14" s="7" customFormat="1" ht="25.5" x14ac:dyDescent="0.25">
      <c r="A337" s="272" t="s">
        <v>590</v>
      </c>
      <c r="B337" s="273"/>
      <c r="C337" s="273"/>
      <c r="D337" s="273"/>
      <c r="E337" s="273"/>
      <c r="F337" s="273"/>
      <c r="G337" s="273"/>
      <c r="H337" s="273"/>
      <c r="I337" s="273"/>
      <c r="J337" s="273"/>
      <c r="K337" s="273"/>
      <c r="L337" s="273"/>
      <c r="M337" s="273"/>
      <c r="N337" s="273"/>
    </row>
    <row r="338" spans="1:14" s="7" customFormat="1" ht="153" x14ac:dyDescent="0.25">
      <c r="A338" s="145" t="s">
        <v>591</v>
      </c>
      <c r="B338" s="274" t="s">
        <v>592</v>
      </c>
      <c r="C338" s="11" t="s">
        <v>593</v>
      </c>
      <c r="D338" s="11" t="s">
        <v>594</v>
      </c>
      <c r="E338" s="273" t="s">
        <v>341</v>
      </c>
      <c r="F338" s="274" t="s">
        <v>382</v>
      </c>
      <c r="G338" s="274" t="s">
        <v>595</v>
      </c>
      <c r="H338" s="274" t="s">
        <v>244</v>
      </c>
      <c r="I338" s="275">
        <v>250000</v>
      </c>
      <c r="J338" s="274" t="s">
        <v>596</v>
      </c>
      <c r="K338" s="274" t="s">
        <v>597</v>
      </c>
      <c r="L338" s="273"/>
      <c r="M338" s="273"/>
      <c r="N338" s="11" t="s">
        <v>382</v>
      </c>
    </row>
    <row r="339" spans="1:14" s="7" customFormat="1" ht="38.25" x14ac:dyDescent="0.25">
      <c r="A339" s="276" t="s">
        <v>598</v>
      </c>
      <c r="B339" s="274" t="s">
        <v>382</v>
      </c>
      <c r="C339" s="272"/>
      <c r="D339" s="272" t="s">
        <v>382</v>
      </c>
      <c r="E339" s="272"/>
      <c r="F339" s="272"/>
      <c r="G339" s="272"/>
      <c r="H339" s="272"/>
      <c r="I339" s="277"/>
      <c r="J339" s="272"/>
      <c r="K339" s="272"/>
      <c r="L339" s="272"/>
      <c r="M339" s="272"/>
      <c r="N339" s="272"/>
    </row>
    <row r="340" spans="1:14" s="7" customFormat="1" ht="114.75" x14ac:dyDescent="0.25">
      <c r="A340" s="278" t="s">
        <v>599</v>
      </c>
      <c r="B340" s="274" t="s">
        <v>592</v>
      </c>
      <c r="C340" s="11" t="s">
        <v>600</v>
      </c>
      <c r="D340" s="11" t="s">
        <v>601</v>
      </c>
      <c r="E340" s="273" t="s">
        <v>341</v>
      </c>
      <c r="F340" s="273"/>
      <c r="G340" s="274" t="s">
        <v>595</v>
      </c>
      <c r="H340" s="15" t="s">
        <v>244</v>
      </c>
      <c r="I340" s="279">
        <v>150000</v>
      </c>
      <c r="J340" s="274" t="s">
        <v>596</v>
      </c>
      <c r="K340" s="274" t="s">
        <v>597</v>
      </c>
      <c r="L340" s="273"/>
      <c r="M340" s="273"/>
      <c r="N340" s="11" t="s">
        <v>382</v>
      </c>
    </row>
    <row r="341" spans="1:14" s="7" customFormat="1" ht="164.25" customHeight="1" x14ac:dyDescent="0.25">
      <c r="A341" s="278" t="s">
        <v>602</v>
      </c>
      <c r="B341" s="274" t="s">
        <v>592</v>
      </c>
      <c r="C341" s="11" t="s">
        <v>603</v>
      </c>
      <c r="D341" s="11" t="s">
        <v>604</v>
      </c>
      <c r="E341" s="273"/>
      <c r="F341" s="273"/>
      <c r="G341" s="274"/>
      <c r="H341" s="15"/>
      <c r="I341" s="279" t="s">
        <v>382</v>
      </c>
      <c r="J341" s="274" t="s">
        <v>596</v>
      </c>
      <c r="K341" s="274" t="s">
        <v>597</v>
      </c>
      <c r="L341" s="273"/>
      <c r="M341" s="273"/>
      <c r="N341" s="11"/>
    </row>
    <row r="342" spans="1:14" s="7" customFormat="1" ht="57" customHeight="1" x14ac:dyDescent="0.25">
      <c r="A342" s="278" t="s">
        <v>605</v>
      </c>
      <c r="B342" s="274" t="s">
        <v>592</v>
      </c>
      <c r="C342" s="11" t="s">
        <v>606</v>
      </c>
      <c r="D342" s="11" t="s">
        <v>607</v>
      </c>
      <c r="E342" s="273" t="s">
        <v>341</v>
      </c>
      <c r="F342" s="273"/>
      <c r="G342" s="280" t="s">
        <v>608</v>
      </c>
      <c r="H342" s="15" t="s">
        <v>244</v>
      </c>
      <c r="I342" s="281">
        <v>2000000</v>
      </c>
      <c r="J342" s="274" t="s">
        <v>596</v>
      </c>
      <c r="K342" s="274" t="s">
        <v>597</v>
      </c>
      <c r="L342" s="273"/>
      <c r="M342" s="273"/>
      <c r="N342" s="273"/>
    </row>
    <row r="343" spans="1:14" s="7" customFormat="1" ht="102" x14ac:dyDescent="0.25">
      <c r="A343" s="145" t="s">
        <v>609</v>
      </c>
      <c r="B343" s="274" t="s">
        <v>592</v>
      </c>
      <c r="C343" s="145" t="s">
        <v>610</v>
      </c>
      <c r="D343" s="145" t="s">
        <v>611</v>
      </c>
      <c r="E343" s="273" t="s">
        <v>341</v>
      </c>
      <c r="F343" s="273"/>
      <c r="G343" s="274" t="s">
        <v>595</v>
      </c>
      <c r="H343" s="15" t="s">
        <v>244</v>
      </c>
      <c r="I343" s="282">
        <v>300000</v>
      </c>
      <c r="J343" s="274" t="s">
        <v>596</v>
      </c>
      <c r="K343" s="274" t="s">
        <v>597</v>
      </c>
      <c r="L343" s="273"/>
      <c r="M343" s="273"/>
      <c r="N343" s="273" t="s">
        <v>382</v>
      </c>
    </row>
    <row r="344" spans="1:14" s="7" customFormat="1" ht="178.5" x14ac:dyDescent="0.25">
      <c r="A344" s="145" t="s">
        <v>612</v>
      </c>
      <c r="B344" s="274" t="s">
        <v>592</v>
      </c>
      <c r="C344" s="145" t="s">
        <v>613</v>
      </c>
      <c r="D344" s="145" t="s">
        <v>614</v>
      </c>
      <c r="E344" s="273" t="s">
        <v>341</v>
      </c>
      <c r="F344" s="273"/>
      <c r="G344" s="274" t="s">
        <v>595</v>
      </c>
      <c r="H344" s="15" t="s">
        <v>615</v>
      </c>
      <c r="I344" s="282">
        <v>300000</v>
      </c>
      <c r="J344" s="274" t="s">
        <v>361</v>
      </c>
      <c r="K344" s="274" t="s">
        <v>597</v>
      </c>
      <c r="L344" s="273"/>
      <c r="M344" s="273"/>
      <c r="N344" s="11" t="s">
        <v>382</v>
      </c>
    </row>
    <row r="345" spans="1:14" s="7" customFormat="1" ht="72" customHeight="1" x14ac:dyDescent="0.25">
      <c r="A345" s="145" t="s">
        <v>616</v>
      </c>
      <c r="B345" s="274" t="s">
        <v>592</v>
      </c>
      <c r="C345" s="145" t="s">
        <v>617</v>
      </c>
      <c r="D345" s="11" t="s">
        <v>618</v>
      </c>
      <c r="E345" s="273" t="s">
        <v>341</v>
      </c>
      <c r="F345" s="273"/>
      <c r="G345" s="274" t="s">
        <v>595</v>
      </c>
      <c r="H345" s="15" t="s">
        <v>615</v>
      </c>
      <c r="I345" s="282">
        <v>650000</v>
      </c>
      <c r="J345" s="274" t="s">
        <v>361</v>
      </c>
      <c r="K345" s="274" t="s">
        <v>597</v>
      </c>
      <c r="L345" s="273"/>
      <c r="M345" s="273"/>
      <c r="N345" s="273" t="s">
        <v>382</v>
      </c>
    </row>
    <row r="346" spans="1:14" s="7" customFormat="1" ht="89.25" x14ac:dyDescent="0.25">
      <c r="A346" s="145" t="s">
        <v>619</v>
      </c>
      <c r="B346" s="274" t="s">
        <v>592</v>
      </c>
      <c r="C346" s="145" t="s">
        <v>620</v>
      </c>
      <c r="D346" s="11" t="s">
        <v>621</v>
      </c>
      <c r="E346" s="273"/>
      <c r="F346" s="273"/>
      <c r="G346" s="274"/>
      <c r="H346" s="15"/>
      <c r="I346" s="282">
        <v>200000</v>
      </c>
      <c r="J346" s="274" t="s">
        <v>357</v>
      </c>
      <c r="K346" s="274" t="s">
        <v>597</v>
      </c>
      <c r="L346" s="273"/>
      <c r="M346" s="273"/>
      <c r="N346" s="273"/>
    </row>
    <row r="347" spans="1:14" s="7" customFormat="1" ht="25.5" x14ac:dyDescent="0.25">
      <c r="A347" s="283" t="s">
        <v>622</v>
      </c>
      <c r="B347" s="274" t="s">
        <v>592</v>
      </c>
      <c r="C347" s="283" t="s">
        <v>382</v>
      </c>
      <c r="D347" s="11" t="s">
        <v>382</v>
      </c>
      <c r="E347" s="273" t="s">
        <v>382</v>
      </c>
      <c r="F347" s="273"/>
      <c r="G347" s="274" t="s">
        <v>382</v>
      </c>
      <c r="H347" s="274" t="s">
        <v>382</v>
      </c>
      <c r="I347" s="275" t="s">
        <v>382</v>
      </c>
      <c r="J347" s="274" t="s">
        <v>382</v>
      </c>
      <c r="K347" s="274" t="s">
        <v>382</v>
      </c>
      <c r="L347" s="273"/>
      <c r="M347" s="273"/>
      <c r="N347" s="273"/>
    </row>
    <row r="348" spans="1:14" s="7" customFormat="1" ht="84.75" customHeight="1" x14ac:dyDescent="0.25">
      <c r="A348" s="278" t="s">
        <v>623</v>
      </c>
      <c r="B348" s="274" t="s">
        <v>592</v>
      </c>
      <c r="C348" s="278" t="s">
        <v>624</v>
      </c>
      <c r="D348" s="11" t="s">
        <v>625</v>
      </c>
      <c r="E348" s="273" t="s">
        <v>341</v>
      </c>
      <c r="F348" s="273"/>
      <c r="G348" s="274" t="s">
        <v>595</v>
      </c>
      <c r="H348" s="274" t="s">
        <v>244</v>
      </c>
      <c r="I348" s="275">
        <v>200000</v>
      </c>
      <c r="J348" s="284" t="s">
        <v>596</v>
      </c>
      <c r="K348" s="284" t="s">
        <v>597</v>
      </c>
      <c r="L348" s="273"/>
      <c r="M348" s="273"/>
      <c r="N348" s="273"/>
    </row>
    <row r="349" spans="1:14" s="7" customFormat="1" ht="81.75" customHeight="1" x14ac:dyDescent="0.25">
      <c r="A349" s="145" t="s">
        <v>626</v>
      </c>
      <c r="B349" s="274" t="s">
        <v>592</v>
      </c>
      <c r="C349" s="145" t="s">
        <v>627</v>
      </c>
      <c r="D349" s="11" t="s">
        <v>628</v>
      </c>
      <c r="E349" s="273" t="s">
        <v>341</v>
      </c>
      <c r="F349" s="273"/>
      <c r="G349" s="274" t="s">
        <v>595</v>
      </c>
      <c r="H349" s="15" t="s">
        <v>244</v>
      </c>
      <c r="I349" s="275">
        <v>200000</v>
      </c>
      <c r="J349" s="274" t="s">
        <v>596</v>
      </c>
      <c r="K349" s="274" t="s">
        <v>597</v>
      </c>
      <c r="L349" s="273"/>
      <c r="M349" s="273"/>
      <c r="N349" s="273"/>
    </row>
    <row r="350" spans="1:14" s="7" customFormat="1" ht="82.5" customHeight="1" x14ac:dyDescent="0.25">
      <c r="A350" s="278" t="s">
        <v>629</v>
      </c>
      <c r="B350" s="274" t="s">
        <v>592</v>
      </c>
      <c r="C350" s="278" t="s">
        <v>630</v>
      </c>
      <c r="D350" s="11" t="s">
        <v>631</v>
      </c>
      <c r="E350" s="273" t="s">
        <v>341</v>
      </c>
      <c r="F350" s="273"/>
      <c r="G350" s="274" t="s">
        <v>595</v>
      </c>
      <c r="H350" s="274" t="s">
        <v>244</v>
      </c>
      <c r="I350" s="275"/>
      <c r="J350" s="284" t="s">
        <v>596</v>
      </c>
      <c r="K350" s="284" t="s">
        <v>597</v>
      </c>
      <c r="L350" s="273"/>
      <c r="M350" s="273"/>
      <c r="N350" s="11" t="s">
        <v>382</v>
      </c>
    </row>
    <row r="351" spans="1:14" s="7" customFormat="1" ht="114.75" x14ac:dyDescent="0.25">
      <c r="A351" s="145" t="s">
        <v>632</v>
      </c>
      <c r="B351" s="274" t="s">
        <v>592</v>
      </c>
      <c r="C351" s="145" t="s">
        <v>633</v>
      </c>
      <c r="D351" s="11" t="s">
        <v>634</v>
      </c>
      <c r="E351" s="273" t="s">
        <v>341</v>
      </c>
      <c r="F351" s="273"/>
      <c r="G351" s="274" t="s">
        <v>595</v>
      </c>
      <c r="H351" s="15" t="s">
        <v>244</v>
      </c>
      <c r="I351" s="275">
        <v>1225000</v>
      </c>
      <c r="J351" s="274" t="s">
        <v>361</v>
      </c>
      <c r="K351" s="274" t="s">
        <v>597</v>
      </c>
      <c r="L351" s="273"/>
      <c r="M351" s="273"/>
      <c r="N351" s="11" t="s">
        <v>635</v>
      </c>
    </row>
    <row r="352" spans="1:14" s="7" customFormat="1" ht="25.5" x14ac:dyDescent="0.25">
      <c r="A352" s="276" t="s">
        <v>636</v>
      </c>
      <c r="B352" s="274" t="s">
        <v>592</v>
      </c>
      <c r="C352" s="123" t="s">
        <v>382</v>
      </c>
      <c r="D352" s="11" t="s">
        <v>382</v>
      </c>
      <c r="E352" s="273" t="s">
        <v>382</v>
      </c>
      <c r="F352" s="273"/>
      <c r="G352" s="274" t="s">
        <v>382</v>
      </c>
      <c r="H352" s="15" t="s">
        <v>382</v>
      </c>
      <c r="I352" s="282" t="s">
        <v>382</v>
      </c>
      <c r="J352" s="274" t="s">
        <v>382</v>
      </c>
      <c r="K352" s="274" t="s">
        <v>382</v>
      </c>
      <c r="L352" s="273"/>
      <c r="M352" s="273"/>
      <c r="N352" s="11"/>
    </row>
    <row r="353" spans="1:14" s="7" customFormat="1" ht="93.75" customHeight="1" x14ac:dyDescent="0.25">
      <c r="A353" s="278" t="s">
        <v>637</v>
      </c>
      <c r="B353" s="274" t="s">
        <v>592</v>
      </c>
      <c r="C353" s="278" t="s">
        <v>638</v>
      </c>
      <c r="D353" s="11" t="s">
        <v>639</v>
      </c>
      <c r="E353" s="273" t="s">
        <v>341</v>
      </c>
      <c r="F353" s="273"/>
      <c r="G353" s="274" t="s">
        <v>608</v>
      </c>
      <c r="H353" s="15" t="s">
        <v>244</v>
      </c>
      <c r="I353" s="282">
        <f>5919036+2200000</f>
        <v>8119036</v>
      </c>
      <c r="J353" s="274" t="s">
        <v>596</v>
      </c>
      <c r="K353" s="274" t="s">
        <v>597</v>
      </c>
      <c r="L353" s="273"/>
      <c r="M353" s="273"/>
      <c r="N353" s="11"/>
    </row>
    <row r="354" spans="1:14" s="7" customFormat="1" ht="127.5" x14ac:dyDescent="0.25">
      <c r="A354" s="278" t="s">
        <v>640</v>
      </c>
      <c r="B354" s="274" t="s">
        <v>592</v>
      </c>
      <c r="C354" s="278" t="s">
        <v>641</v>
      </c>
      <c r="D354" s="11" t="s">
        <v>642</v>
      </c>
      <c r="E354" s="273" t="s">
        <v>341</v>
      </c>
      <c r="F354" s="273"/>
      <c r="G354" s="274" t="s">
        <v>595</v>
      </c>
      <c r="H354" s="15" t="s">
        <v>382</v>
      </c>
      <c r="I354" s="282">
        <v>50000</v>
      </c>
      <c r="J354" s="274" t="s">
        <v>596</v>
      </c>
      <c r="K354" s="274" t="s">
        <v>597</v>
      </c>
      <c r="L354" s="273"/>
      <c r="M354" s="273"/>
      <c r="N354" s="11" t="s">
        <v>382</v>
      </c>
    </row>
    <row r="355" spans="1:14" s="7" customFormat="1" ht="121.5" customHeight="1" x14ac:dyDescent="0.25">
      <c r="A355" s="278" t="s">
        <v>643</v>
      </c>
      <c r="B355" s="274" t="s">
        <v>592</v>
      </c>
      <c r="C355" s="278" t="s">
        <v>644</v>
      </c>
      <c r="D355" s="11" t="s">
        <v>645</v>
      </c>
      <c r="E355" s="11" t="s">
        <v>341</v>
      </c>
      <c r="F355" s="11" t="s">
        <v>382</v>
      </c>
      <c r="G355" s="285" t="s">
        <v>646</v>
      </c>
      <c r="H355" s="11" t="s">
        <v>382</v>
      </c>
      <c r="I355" s="286">
        <f>1115600+200000+2200000</f>
        <v>3515600</v>
      </c>
      <c r="J355" s="15" t="s">
        <v>596</v>
      </c>
      <c r="K355" s="15" t="s">
        <v>597</v>
      </c>
      <c r="L355" s="250" t="s">
        <v>382</v>
      </c>
      <c r="M355" s="250"/>
      <c r="N355" s="11" t="s">
        <v>647</v>
      </c>
    </row>
    <row r="356" spans="1:14" s="7" customFormat="1" ht="68.25" customHeight="1" x14ac:dyDescent="0.2">
      <c r="A356" s="278" t="s">
        <v>648</v>
      </c>
      <c r="B356" s="274" t="s">
        <v>592</v>
      </c>
      <c r="C356" s="278" t="s">
        <v>649</v>
      </c>
      <c r="D356" s="11" t="s">
        <v>382</v>
      </c>
      <c r="E356" s="11" t="s">
        <v>341</v>
      </c>
      <c r="F356" s="11"/>
      <c r="G356" s="15" t="s">
        <v>595</v>
      </c>
      <c r="H356" s="11"/>
      <c r="I356" s="287">
        <v>30000</v>
      </c>
      <c r="J356" s="15" t="s">
        <v>596</v>
      </c>
      <c r="K356" s="15" t="s">
        <v>597</v>
      </c>
      <c r="L356" s="288" t="s">
        <v>382</v>
      </c>
      <c r="M356" s="288" t="s">
        <v>382</v>
      </c>
      <c r="N356" s="15" t="s">
        <v>382</v>
      </c>
    </row>
    <row r="357" spans="1:14" s="6" customFormat="1" ht="30" customHeight="1" x14ac:dyDescent="0.3">
      <c r="A357" s="16" t="s">
        <v>650</v>
      </c>
      <c r="B357" s="16"/>
      <c r="C357" s="16"/>
      <c r="D357" s="16"/>
      <c r="E357" s="16"/>
      <c r="F357" s="16"/>
      <c r="G357" s="16"/>
      <c r="H357" s="16"/>
      <c r="I357" s="16"/>
      <c r="J357" s="16"/>
      <c r="K357" s="16"/>
      <c r="L357" s="16"/>
      <c r="M357" s="16"/>
      <c r="N357" s="16"/>
    </row>
    <row r="358" spans="1:14" s="7" customFormat="1" ht="38.25" x14ac:dyDescent="0.25">
      <c r="A358" s="289" t="s">
        <v>651</v>
      </c>
      <c r="B358" s="290"/>
      <c r="C358" s="290"/>
      <c r="D358" s="290"/>
      <c r="E358" s="291"/>
      <c r="F358" s="290"/>
      <c r="G358" s="290"/>
      <c r="H358" s="290"/>
      <c r="I358" s="290"/>
      <c r="J358" s="290"/>
      <c r="K358" s="290"/>
      <c r="L358" s="291"/>
      <c r="M358" s="290"/>
      <c r="N358" s="291"/>
    </row>
    <row r="359" spans="1:14" s="7" customFormat="1" ht="130.5" customHeight="1" x14ac:dyDescent="0.25">
      <c r="A359" s="292" t="s">
        <v>652</v>
      </c>
      <c r="B359" s="293" t="s">
        <v>653</v>
      </c>
      <c r="C359" s="293"/>
      <c r="D359" s="123" t="s">
        <v>654</v>
      </c>
      <c r="E359" s="238"/>
      <c r="F359" s="144"/>
      <c r="G359" s="144"/>
      <c r="H359" s="144" t="s">
        <v>655</v>
      </c>
      <c r="I359" s="215">
        <v>500000</v>
      </c>
      <c r="J359" s="144" t="s">
        <v>656</v>
      </c>
      <c r="K359" s="144" t="s">
        <v>657</v>
      </c>
      <c r="L359" s="144"/>
      <c r="M359" s="144"/>
      <c r="N359" s="144"/>
    </row>
    <row r="360" spans="1:14" s="7" customFormat="1" ht="255" x14ac:dyDescent="0.25">
      <c r="A360" s="294" t="s">
        <v>658</v>
      </c>
      <c r="B360" s="293" t="s">
        <v>653</v>
      </c>
      <c r="C360" s="123" t="s">
        <v>659</v>
      </c>
      <c r="D360" s="123" t="s">
        <v>660</v>
      </c>
      <c r="E360" s="123" t="s">
        <v>661</v>
      </c>
      <c r="F360" s="144"/>
      <c r="G360" s="144"/>
      <c r="H360" s="144" t="s">
        <v>655</v>
      </c>
      <c r="I360" s="215"/>
      <c r="J360" s="144" t="s">
        <v>656</v>
      </c>
      <c r="K360" s="144" t="s">
        <v>657</v>
      </c>
      <c r="L360" s="144"/>
      <c r="M360" s="144"/>
      <c r="N360" s="144"/>
    </row>
    <row r="361" spans="1:14" s="7" customFormat="1" ht="25.5" x14ac:dyDescent="0.2">
      <c r="A361" s="294" t="s">
        <v>662</v>
      </c>
      <c r="B361" s="293"/>
      <c r="C361" s="123"/>
      <c r="D361" s="123"/>
      <c r="E361" s="123"/>
      <c r="F361" s="144"/>
      <c r="G361" s="144"/>
      <c r="H361" s="295" t="s">
        <v>663</v>
      </c>
      <c r="I361" s="215"/>
      <c r="J361" s="216"/>
      <c r="K361" s="216"/>
      <c r="L361" s="144"/>
      <c r="M361" s="144"/>
      <c r="N361" s="144"/>
    </row>
    <row r="362" spans="1:14" s="7" customFormat="1" ht="57" customHeight="1" x14ac:dyDescent="0.25">
      <c r="A362" s="123" t="s">
        <v>664</v>
      </c>
      <c r="B362" s="293"/>
      <c r="C362" s="123"/>
      <c r="D362" s="123" t="s">
        <v>665</v>
      </c>
      <c r="E362" s="296" t="s">
        <v>666</v>
      </c>
      <c r="F362" s="144"/>
      <c r="G362" s="144"/>
      <c r="H362" s="297"/>
      <c r="I362" s="215">
        <v>206250</v>
      </c>
      <c r="J362" s="144" t="s">
        <v>656</v>
      </c>
      <c r="K362" s="144" t="s">
        <v>657</v>
      </c>
      <c r="L362" s="144"/>
      <c r="M362" s="144"/>
      <c r="N362" s="144"/>
    </row>
    <row r="363" spans="1:14" s="7" customFormat="1" ht="51" x14ac:dyDescent="0.25">
      <c r="A363" s="123" t="s">
        <v>667</v>
      </c>
      <c r="B363" s="293"/>
      <c r="C363" s="123"/>
      <c r="D363" s="123" t="s">
        <v>668</v>
      </c>
      <c r="E363" s="298"/>
      <c r="F363" s="144"/>
      <c r="G363" s="144"/>
      <c r="H363" s="297"/>
      <c r="I363" s="215">
        <v>206250</v>
      </c>
      <c r="J363" s="144" t="s">
        <v>656</v>
      </c>
      <c r="K363" s="144" t="s">
        <v>657</v>
      </c>
      <c r="L363" s="144"/>
      <c r="M363" s="144"/>
      <c r="N363" s="144"/>
    </row>
    <row r="364" spans="1:14" s="7" customFormat="1" ht="38.25" x14ac:dyDescent="0.25">
      <c r="A364" s="123" t="s">
        <v>669</v>
      </c>
      <c r="B364" s="293"/>
      <c r="C364" s="123"/>
      <c r="D364" s="123" t="s">
        <v>670</v>
      </c>
      <c r="E364" s="299"/>
      <c r="F364" s="144"/>
      <c r="G364" s="144"/>
      <c r="H364" s="300"/>
      <c r="I364" s="215">
        <v>83400</v>
      </c>
      <c r="J364" s="144" t="s">
        <v>656</v>
      </c>
      <c r="K364" s="144" t="s">
        <v>657</v>
      </c>
      <c r="L364" s="144"/>
      <c r="M364" s="144"/>
      <c r="N364" s="144"/>
    </row>
    <row r="365" spans="1:14" s="7" customFormat="1" ht="27.75" customHeight="1" x14ac:dyDescent="0.25">
      <c r="A365" s="301" t="s">
        <v>671</v>
      </c>
      <c r="B365" s="302"/>
      <c r="C365" s="131"/>
      <c r="D365" s="131"/>
      <c r="E365" s="131"/>
      <c r="F365" s="303"/>
      <c r="G365" s="303"/>
      <c r="H365" s="12" t="s">
        <v>663</v>
      </c>
      <c r="I365" s="304"/>
      <c r="J365" s="144"/>
      <c r="K365" s="144"/>
      <c r="L365" s="303"/>
      <c r="M365" s="144"/>
      <c r="N365" s="144"/>
    </row>
    <row r="366" spans="1:14" s="7" customFormat="1" ht="127.5" x14ac:dyDescent="0.25">
      <c r="A366" s="123" t="s">
        <v>672</v>
      </c>
      <c r="B366" s="293"/>
      <c r="C366" s="123"/>
      <c r="D366" s="123" t="s">
        <v>673</v>
      </c>
      <c r="E366" s="11" t="s">
        <v>674</v>
      </c>
      <c r="F366" s="144"/>
      <c r="G366" s="144"/>
      <c r="H366" s="14"/>
      <c r="I366" s="215">
        <v>187500</v>
      </c>
      <c r="J366" s="144" t="s">
        <v>656</v>
      </c>
      <c r="K366" s="144" t="s">
        <v>657</v>
      </c>
      <c r="L366" s="144"/>
      <c r="M366" s="144"/>
      <c r="N366" s="144"/>
    </row>
    <row r="367" spans="1:14" s="7" customFormat="1" ht="44.25" customHeight="1" x14ac:dyDescent="0.25">
      <c r="A367" s="123" t="s">
        <v>675</v>
      </c>
      <c r="B367" s="293"/>
      <c r="C367" s="123"/>
      <c r="D367" s="123" t="s">
        <v>676</v>
      </c>
      <c r="E367" s="11"/>
      <c r="F367" s="144"/>
      <c r="G367" s="144"/>
      <c r="H367" s="144"/>
      <c r="I367" s="215">
        <v>75000</v>
      </c>
      <c r="J367" s="144" t="s">
        <v>656</v>
      </c>
      <c r="K367" s="144" t="s">
        <v>657</v>
      </c>
      <c r="L367" s="144"/>
      <c r="M367" s="144"/>
      <c r="N367" s="144"/>
    </row>
    <row r="368" spans="1:14" s="7" customFormat="1" ht="111" customHeight="1" x14ac:dyDescent="0.25">
      <c r="A368" s="305" t="s">
        <v>677</v>
      </c>
      <c r="B368" s="306" t="s">
        <v>653</v>
      </c>
      <c r="C368" s="146"/>
      <c r="D368" s="146" t="s">
        <v>678</v>
      </c>
      <c r="E368" s="307"/>
      <c r="F368" s="308"/>
      <c r="G368" s="308"/>
      <c r="H368" s="308" t="s">
        <v>663</v>
      </c>
      <c r="I368" s="309">
        <v>1000000</v>
      </c>
      <c r="J368" s="308" t="s">
        <v>656</v>
      </c>
      <c r="K368" s="308" t="s">
        <v>657</v>
      </c>
      <c r="L368" s="308"/>
      <c r="M368" s="308"/>
      <c r="N368" s="308"/>
    </row>
    <row r="369" spans="1:14" s="7" customFormat="1" ht="70.5" customHeight="1" x14ac:dyDescent="0.25">
      <c r="A369" s="294" t="s">
        <v>679</v>
      </c>
      <c r="B369" s="293" t="s">
        <v>653</v>
      </c>
      <c r="C369" s="123"/>
      <c r="D369" s="123" t="s">
        <v>680</v>
      </c>
      <c r="E369" s="238"/>
      <c r="F369" s="144"/>
      <c r="G369" s="144"/>
      <c r="H369" s="144" t="s">
        <v>681</v>
      </c>
      <c r="I369" s="215">
        <v>50000000</v>
      </c>
      <c r="J369" s="144" t="s">
        <v>656</v>
      </c>
      <c r="K369" s="144" t="s">
        <v>657</v>
      </c>
      <c r="L369" s="144"/>
      <c r="M369" s="144"/>
      <c r="N369" s="144"/>
    </row>
    <row r="370" spans="1:14" s="7" customFormat="1" ht="55.5" customHeight="1" x14ac:dyDescent="0.25">
      <c r="A370" s="123" t="s">
        <v>682</v>
      </c>
      <c r="B370" s="293"/>
      <c r="C370" s="310" t="s">
        <v>683</v>
      </c>
      <c r="D370" s="310" t="s">
        <v>684</v>
      </c>
      <c r="E370" s="238"/>
      <c r="F370" s="144"/>
      <c r="G370" s="144"/>
      <c r="H370" s="144"/>
      <c r="I370" s="215"/>
      <c r="J370" s="144"/>
      <c r="K370" s="144"/>
      <c r="L370" s="144"/>
      <c r="M370" s="144"/>
      <c r="N370" s="144"/>
    </row>
    <row r="371" spans="1:14" s="7" customFormat="1" ht="122.25" customHeight="1" x14ac:dyDescent="0.25">
      <c r="A371" s="292" t="s">
        <v>685</v>
      </c>
      <c r="B371" s="293" t="s">
        <v>653</v>
      </c>
      <c r="C371" s="311" t="s">
        <v>686</v>
      </c>
      <c r="D371" s="293"/>
      <c r="E371" s="238"/>
      <c r="F371" s="144"/>
      <c r="G371" s="144"/>
      <c r="H371" s="144" t="s">
        <v>687</v>
      </c>
      <c r="I371" s="312">
        <v>500000</v>
      </c>
      <c r="J371" s="193" t="s">
        <v>688</v>
      </c>
      <c r="K371" s="144" t="s">
        <v>657</v>
      </c>
      <c r="L371" s="144"/>
      <c r="M371" s="144"/>
      <c r="N371" s="144"/>
    </row>
    <row r="372" spans="1:14" s="7" customFormat="1" ht="35.25" customHeight="1" x14ac:dyDescent="0.25">
      <c r="A372" s="181" t="s">
        <v>689</v>
      </c>
      <c r="B372" s="293"/>
      <c r="C372" s="311"/>
      <c r="D372" s="193"/>
      <c r="E372" s="193"/>
      <c r="F372" s="144"/>
      <c r="G372" s="144"/>
      <c r="H372" s="144"/>
      <c r="I372" s="144"/>
      <c r="J372" s="303"/>
      <c r="K372" s="303"/>
      <c r="L372" s="144"/>
      <c r="M372" s="144"/>
      <c r="N372" s="144"/>
    </row>
    <row r="373" spans="1:14" s="7" customFormat="1" ht="27" customHeight="1" x14ac:dyDescent="0.25">
      <c r="A373" s="181" t="s">
        <v>690</v>
      </c>
      <c r="B373" s="293"/>
      <c r="C373" s="311"/>
      <c r="D373" s="313" t="s">
        <v>691</v>
      </c>
      <c r="E373" s="313" t="s">
        <v>692</v>
      </c>
      <c r="F373" s="144"/>
      <c r="G373" s="144"/>
      <c r="H373" s="303"/>
      <c r="I373" s="312"/>
      <c r="J373" s="193"/>
      <c r="K373" s="144"/>
      <c r="L373" s="314"/>
      <c r="M373" s="144"/>
      <c r="N373" s="144"/>
    </row>
    <row r="374" spans="1:14" s="7" customFormat="1" ht="40.5" customHeight="1" x14ac:dyDescent="0.2">
      <c r="A374" s="181" t="s">
        <v>693</v>
      </c>
      <c r="B374" s="315" t="s">
        <v>653</v>
      </c>
      <c r="C374" s="311"/>
      <c r="D374" s="313"/>
      <c r="E374" s="313"/>
      <c r="F374" s="193"/>
      <c r="G374" s="193"/>
      <c r="H374" s="193"/>
      <c r="I374" s="312"/>
      <c r="J374" s="216"/>
      <c r="K374" s="216"/>
      <c r="L374" s="314"/>
      <c r="M374" s="316"/>
      <c r="N374" s="144"/>
    </row>
    <row r="375" spans="1:14" s="7" customFormat="1" ht="33" customHeight="1" x14ac:dyDescent="0.25">
      <c r="A375" s="181" t="s">
        <v>694</v>
      </c>
      <c r="B375" s="315"/>
      <c r="C375" s="311"/>
      <c r="D375" s="313"/>
      <c r="E375" s="313"/>
      <c r="F375" s="193"/>
      <c r="G375" s="193"/>
      <c r="H375" s="193"/>
      <c r="I375" s="312"/>
      <c r="J375" s="193"/>
      <c r="K375" s="144"/>
      <c r="L375" s="314"/>
      <c r="M375" s="316"/>
      <c r="N375" s="144"/>
    </row>
    <row r="376" spans="1:14" s="7" customFormat="1" ht="47.25" customHeight="1" x14ac:dyDescent="0.25">
      <c r="A376" s="181" t="s">
        <v>695</v>
      </c>
      <c r="B376" s="315"/>
      <c r="C376" s="311"/>
      <c r="D376" s="313" t="s">
        <v>696</v>
      </c>
      <c r="E376" s="313" t="s">
        <v>697</v>
      </c>
      <c r="F376" s="193"/>
      <c r="G376" s="193"/>
      <c r="H376" s="193"/>
      <c r="I376" s="201"/>
      <c r="J376" s="308"/>
      <c r="K376" s="308"/>
      <c r="L376" s="144"/>
      <c r="M376" s="144"/>
      <c r="N376" s="193"/>
    </row>
    <row r="377" spans="1:14" s="7" customFormat="1" ht="39.75" customHeight="1" x14ac:dyDescent="0.25">
      <c r="A377" s="181" t="s">
        <v>698</v>
      </c>
      <c r="B377" s="315"/>
      <c r="C377" s="311"/>
      <c r="D377" s="313"/>
      <c r="E377" s="313"/>
      <c r="F377" s="193"/>
      <c r="G377" s="193"/>
      <c r="H377" s="193"/>
      <c r="I377" s="201"/>
      <c r="J377" s="193"/>
      <c r="K377" s="144"/>
      <c r="L377" s="193"/>
      <c r="M377" s="201"/>
      <c r="N377" s="295"/>
    </row>
    <row r="378" spans="1:14" s="7" customFormat="1" ht="36" customHeight="1" x14ac:dyDescent="0.25">
      <c r="A378" s="181" t="s">
        <v>699</v>
      </c>
      <c r="B378" s="315"/>
      <c r="C378" s="311"/>
      <c r="D378" s="313"/>
      <c r="E378" s="313"/>
      <c r="F378" s="193"/>
      <c r="G378" s="193"/>
      <c r="H378" s="193"/>
      <c r="I378" s="215"/>
      <c r="J378" s="193"/>
      <c r="K378" s="144"/>
      <c r="L378" s="193"/>
      <c r="M378" s="215"/>
      <c r="N378" s="297"/>
    </row>
    <row r="379" spans="1:14" s="7" customFormat="1" ht="85.5" customHeight="1" x14ac:dyDescent="0.25">
      <c r="A379" s="123" t="s">
        <v>700</v>
      </c>
      <c r="B379" s="238"/>
      <c r="C379" s="15"/>
      <c r="D379" s="144" t="s">
        <v>701</v>
      </c>
      <c r="E379" s="144"/>
      <c r="F379" s="193"/>
      <c r="G379" s="193"/>
      <c r="H379" s="193" t="s">
        <v>702</v>
      </c>
      <c r="I379" s="317">
        <v>2000000</v>
      </c>
      <c r="J379" s="144" t="s">
        <v>703</v>
      </c>
      <c r="K379" s="193" t="s">
        <v>657</v>
      </c>
      <c r="L379" s="193"/>
      <c r="M379" s="316"/>
      <c r="N379" s="193"/>
    </row>
    <row r="380" spans="1:14" s="7" customFormat="1" ht="43.5" customHeight="1" x14ac:dyDescent="0.25">
      <c r="A380" s="294" t="s">
        <v>704</v>
      </c>
      <c r="B380" s="293" t="s">
        <v>653</v>
      </c>
      <c r="C380" s="11"/>
      <c r="D380" s="144"/>
      <c r="E380" s="144"/>
      <c r="F380" s="193"/>
      <c r="G380" s="193"/>
      <c r="H380" s="308"/>
      <c r="I380" s="317"/>
      <c r="J380" s="144"/>
      <c r="K380" s="193"/>
      <c r="L380" s="193"/>
      <c r="M380" s="316"/>
      <c r="N380" s="193"/>
    </row>
    <row r="381" spans="1:14" s="7" customFormat="1" ht="38.25" x14ac:dyDescent="0.25">
      <c r="A381" s="123" t="s">
        <v>705</v>
      </c>
      <c r="B381" s="238"/>
      <c r="C381" s="11"/>
      <c r="D381" s="144" t="s">
        <v>706</v>
      </c>
      <c r="E381" s="144"/>
      <c r="F381" s="193"/>
      <c r="G381" s="193"/>
      <c r="H381" s="193" t="s">
        <v>707</v>
      </c>
      <c r="I381" s="317">
        <v>2000000</v>
      </c>
      <c r="J381" s="144" t="s">
        <v>703</v>
      </c>
      <c r="K381" s="193" t="s">
        <v>657</v>
      </c>
      <c r="L381" s="193"/>
      <c r="M381" s="316"/>
      <c r="N381" s="193"/>
    </row>
    <row r="382" spans="1:14" s="7" customFormat="1" ht="60.75" customHeight="1" x14ac:dyDescent="0.25">
      <c r="A382" s="123" t="s">
        <v>708</v>
      </c>
      <c r="B382" s="238"/>
      <c r="C382" s="11"/>
      <c r="D382" s="144" t="s">
        <v>709</v>
      </c>
      <c r="E382" s="144"/>
      <c r="F382" s="193"/>
      <c r="G382" s="193"/>
      <c r="H382" s="193" t="s">
        <v>707</v>
      </c>
      <c r="I382" s="317">
        <v>5000000</v>
      </c>
      <c r="J382" s="144" t="s">
        <v>703</v>
      </c>
      <c r="K382" s="193" t="s">
        <v>657</v>
      </c>
      <c r="L382" s="193"/>
      <c r="M382" s="316"/>
      <c r="N382" s="193"/>
    </row>
    <row r="383" spans="1:14" s="7" customFormat="1" ht="50.25" customHeight="1" x14ac:dyDescent="0.25">
      <c r="A383" s="123" t="s">
        <v>710</v>
      </c>
      <c r="B383" s="307"/>
      <c r="C383" s="11"/>
      <c r="D383" s="144" t="s">
        <v>711</v>
      </c>
      <c r="E383" s="308"/>
      <c r="F383" s="193"/>
      <c r="G383" s="193"/>
      <c r="H383" s="193" t="s">
        <v>702</v>
      </c>
      <c r="I383" s="317">
        <v>5000000</v>
      </c>
      <c r="J383" s="144" t="s">
        <v>703</v>
      </c>
      <c r="K383" s="193" t="s">
        <v>657</v>
      </c>
      <c r="L383" s="193"/>
      <c r="M383" s="316"/>
      <c r="N383" s="193"/>
    </row>
    <row r="384" spans="1:14" s="7" customFormat="1" ht="31.5" customHeight="1" x14ac:dyDescent="0.25">
      <c r="A384" s="294" t="s">
        <v>712</v>
      </c>
      <c r="B384" s="307"/>
      <c r="C384" s="11"/>
      <c r="D384" s="144"/>
      <c r="E384" s="308"/>
      <c r="F384" s="193"/>
      <c r="G384" s="193"/>
      <c r="H384" s="193"/>
      <c r="I384" s="317"/>
      <c r="J384" s="144"/>
      <c r="K384" s="193"/>
      <c r="L384" s="193"/>
      <c r="M384" s="316"/>
      <c r="N384" s="193"/>
    </row>
    <row r="385" spans="1:14" s="7" customFormat="1" ht="33" customHeight="1" x14ac:dyDescent="0.25">
      <c r="A385" s="294" t="s">
        <v>713</v>
      </c>
      <c r="B385" s="307"/>
      <c r="C385" s="11"/>
      <c r="D385" s="144"/>
      <c r="E385" s="308"/>
      <c r="F385" s="193"/>
      <c r="G385" s="193"/>
      <c r="H385" s="193"/>
      <c r="I385" s="317"/>
      <c r="J385" s="144"/>
      <c r="K385" s="193"/>
      <c r="L385" s="193"/>
      <c r="M385" s="316"/>
      <c r="N385" s="193"/>
    </row>
    <row r="386" spans="1:14" s="7" customFormat="1" ht="74.25" customHeight="1" x14ac:dyDescent="0.25">
      <c r="A386" s="181" t="s">
        <v>714</v>
      </c>
      <c r="B386" s="307" t="s">
        <v>653</v>
      </c>
      <c r="C386" s="193"/>
      <c r="D386" s="144" t="s">
        <v>715</v>
      </c>
      <c r="E386" s="318"/>
      <c r="F386" s="193"/>
      <c r="G386" s="193"/>
      <c r="H386" s="193" t="s">
        <v>702</v>
      </c>
      <c r="I386" s="317">
        <v>3000000</v>
      </c>
      <c r="J386" s="144" t="s">
        <v>656</v>
      </c>
      <c r="K386" s="193" t="s">
        <v>657</v>
      </c>
      <c r="L386" s="193"/>
      <c r="M386" s="316"/>
      <c r="N386" s="193"/>
    </row>
    <row r="387" spans="1:14" s="7" customFormat="1" ht="60.75" customHeight="1" x14ac:dyDescent="0.25">
      <c r="A387" s="123" t="s">
        <v>716</v>
      </c>
      <c r="B387" s="319" t="s">
        <v>653</v>
      </c>
      <c r="C387" s="11" t="s">
        <v>717</v>
      </c>
      <c r="D387" s="15" t="s">
        <v>718</v>
      </c>
      <c r="E387" s="320" t="s">
        <v>719</v>
      </c>
      <c r="F387" s="11"/>
      <c r="G387" s="193"/>
      <c r="H387" s="193" t="s">
        <v>702</v>
      </c>
      <c r="I387" s="317">
        <v>11000000</v>
      </c>
      <c r="J387" s="144" t="s">
        <v>656</v>
      </c>
      <c r="K387" s="193" t="s">
        <v>657</v>
      </c>
      <c r="L387" s="321"/>
      <c r="M387" s="316"/>
      <c r="N387" s="193"/>
    </row>
    <row r="388" spans="1:14" s="6" customFormat="1" ht="30" customHeight="1" x14ac:dyDescent="0.3">
      <c r="A388" s="16" t="s">
        <v>720</v>
      </c>
      <c r="B388" s="16"/>
      <c r="C388" s="16"/>
      <c r="D388" s="16"/>
      <c r="E388" s="16"/>
      <c r="F388" s="16"/>
      <c r="G388" s="16"/>
      <c r="H388" s="16"/>
      <c r="I388" s="16"/>
      <c r="J388" s="16"/>
      <c r="K388" s="16"/>
      <c r="L388" s="16"/>
      <c r="M388" s="16"/>
      <c r="N388" s="16"/>
    </row>
    <row r="389" spans="1:14" s="7" customFormat="1" ht="195" customHeight="1" x14ac:dyDescent="0.25">
      <c r="A389" s="322" t="s">
        <v>721</v>
      </c>
      <c r="B389" s="323" t="s">
        <v>722</v>
      </c>
      <c r="C389" s="322" t="s">
        <v>723</v>
      </c>
      <c r="D389" s="322" t="s">
        <v>724</v>
      </c>
      <c r="E389" s="293"/>
      <c r="F389" s="293"/>
      <c r="G389" s="293"/>
      <c r="H389" s="144" t="s">
        <v>725</v>
      </c>
      <c r="I389" s="324">
        <v>10122918</v>
      </c>
      <c r="J389" s="325">
        <v>46023</v>
      </c>
      <c r="K389" s="325">
        <v>46357</v>
      </c>
      <c r="L389" s="326" t="s">
        <v>726</v>
      </c>
      <c r="M389" s="293"/>
      <c r="N389" s="293"/>
    </row>
    <row r="390" spans="1:14" s="7" customFormat="1" ht="294" customHeight="1" x14ac:dyDescent="0.25">
      <c r="A390" s="322" t="s">
        <v>727</v>
      </c>
      <c r="B390" s="327"/>
      <c r="C390" s="322" t="s">
        <v>727</v>
      </c>
      <c r="D390" s="322" t="s">
        <v>728</v>
      </c>
      <c r="E390" s="293"/>
      <c r="F390" s="293"/>
      <c r="G390" s="144" t="s">
        <v>729</v>
      </c>
      <c r="H390" s="144" t="s">
        <v>725</v>
      </c>
      <c r="I390" s="324">
        <f>9310000+3484000-SUM(I391:I397)</f>
        <v>3604000</v>
      </c>
      <c r="J390" s="325">
        <v>46023</v>
      </c>
      <c r="K390" s="325">
        <v>46357</v>
      </c>
      <c r="L390" s="326" t="s">
        <v>726</v>
      </c>
      <c r="M390" s="293"/>
      <c r="N390" s="293"/>
    </row>
    <row r="391" spans="1:14" s="7" customFormat="1" ht="409.5" x14ac:dyDescent="0.25">
      <c r="A391" s="322" t="s">
        <v>730</v>
      </c>
      <c r="B391" s="327"/>
      <c r="C391" s="323" t="s">
        <v>731</v>
      </c>
      <c r="D391" s="322" t="s">
        <v>732</v>
      </c>
      <c r="E391" s="322" t="s">
        <v>733</v>
      </c>
      <c r="F391" s="322"/>
      <c r="G391" s="144" t="s">
        <v>734</v>
      </c>
      <c r="H391" s="144" t="s">
        <v>725</v>
      </c>
      <c r="I391" s="324">
        <f>2100000+250000</f>
        <v>2350000</v>
      </c>
      <c r="J391" s="325">
        <v>46023</v>
      </c>
      <c r="K391" s="325">
        <v>46357</v>
      </c>
      <c r="L391" s="326" t="s">
        <v>726</v>
      </c>
      <c r="M391" s="322"/>
      <c r="N391" s="322"/>
    </row>
    <row r="392" spans="1:14" s="7" customFormat="1" ht="165.75" x14ac:dyDescent="0.25">
      <c r="A392" s="322" t="s">
        <v>735</v>
      </c>
      <c r="B392" s="327"/>
      <c r="C392" s="328"/>
      <c r="D392" s="322" t="s">
        <v>736</v>
      </c>
      <c r="E392" s="329" t="s">
        <v>382</v>
      </c>
      <c r="F392" s="322"/>
      <c r="G392" s="144"/>
      <c r="H392" s="144" t="s">
        <v>725</v>
      </c>
      <c r="I392" s="324"/>
      <c r="J392" s="325">
        <v>46023</v>
      </c>
      <c r="K392" s="325">
        <v>46357</v>
      </c>
      <c r="L392" s="326" t="s">
        <v>726</v>
      </c>
      <c r="M392" s="322"/>
      <c r="N392" s="322"/>
    </row>
    <row r="393" spans="1:14" s="7" customFormat="1" ht="321" customHeight="1" x14ac:dyDescent="0.25">
      <c r="A393" s="322" t="s">
        <v>737</v>
      </c>
      <c r="B393" s="327"/>
      <c r="C393" s="322" t="s">
        <v>738</v>
      </c>
      <c r="D393" s="322" t="s">
        <v>739</v>
      </c>
      <c r="E393" s="330"/>
      <c r="F393" s="322"/>
      <c r="G393" s="12" t="s">
        <v>740</v>
      </c>
      <c r="H393" s="144" t="s">
        <v>725</v>
      </c>
      <c r="I393" s="324">
        <f>125000+5600000+250000</f>
        <v>5975000</v>
      </c>
      <c r="J393" s="325">
        <v>46023</v>
      </c>
      <c r="K393" s="325">
        <v>46357</v>
      </c>
      <c r="L393" s="326" t="s">
        <v>726</v>
      </c>
      <c r="M393" s="331"/>
      <c r="N393" s="322"/>
    </row>
    <row r="394" spans="1:14" s="7" customFormat="1" ht="178.5" x14ac:dyDescent="0.25">
      <c r="A394" s="322" t="s">
        <v>741</v>
      </c>
      <c r="B394" s="327"/>
      <c r="C394" s="322" t="s">
        <v>742</v>
      </c>
      <c r="D394" s="322" t="s">
        <v>743</v>
      </c>
      <c r="E394" s="330"/>
      <c r="F394" s="322"/>
      <c r="G394" s="13"/>
      <c r="H394" s="144" t="s">
        <v>725</v>
      </c>
      <c r="I394" s="324">
        <f>325000+290000</f>
        <v>615000</v>
      </c>
      <c r="J394" s="325">
        <v>46023</v>
      </c>
      <c r="K394" s="325">
        <v>46357</v>
      </c>
      <c r="L394" s="326" t="s">
        <v>726</v>
      </c>
      <c r="M394" s="322"/>
      <c r="N394" s="322"/>
    </row>
    <row r="395" spans="1:14" s="7" customFormat="1" ht="267.75" x14ac:dyDescent="0.25">
      <c r="A395" s="322" t="s">
        <v>744</v>
      </c>
      <c r="B395" s="327"/>
      <c r="C395" s="322" t="s">
        <v>745</v>
      </c>
      <c r="D395" s="322" t="s">
        <v>746</v>
      </c>
      <c r="E395" s="330"/>
      <c r="F395" s="322"/>
      <c r="G395" s="14"/>
      <c r="H395" s="144" t="s">
        <v>725</v>
      </c>
      <c r="I395" s="324">
        <v>250000</v>
      </c>
      <c r="J395" s="325">
        <v>46023</v>
      </c>
      <c r="K395" s="325">
        <v>46357</v>
      </c>
      <c r="L395" s="326" t="s">
        <v>726</v>
      </c>
      <c r="M395" s="322"/>
      <c r="N395" s="322"/>
    </row>
    <row r="396" spans="1:14" s="7" customFormat="1" ht="38.25" x14ac:dyDescent="0.25">
      <c r="A396" s="322" t="s">
        <v>747</v>
      </c>
      <c r="B396" s="327"/>
      <c r="C396" s="322" t="s">
        <v>748</v>
      </c>
      <c r="D396" s="322" t="s">
        <v>749</v>
      </c>
      <c r="E396" s="330"/>
      <c r="F396" s="322"/>
      <c r="G396" s="332"/>
      <c r="H396" s="144" t="s">
        <v>725</v>
      </c>
      <c r="I396" s="324"/>
      <c r="J396" s="325">
        <v>46023</v>
      </c>
      <c r="K396" s="325">
        <v>46357</v>
      </c>
      <c r="L396" s="326" t="s">
        <v>726</v>
      </c>
      <c r="M396" s="322"/>
      <c r="N396" s="322"/>
    </row>
    <row r="397" spans="1:14" s="7" customFormat="1" ht="140.25" x14ac:dyDescent="0.25">
      <c r="A397" s="322" t="s">
        <v>750</v>
      </c>
      <c r="B397" s="328"/>
      <c r="C397" s="322" t="s">
        <v>748</v>
      </c>
      <c r="D397" s="322" t="s">
        <v>751</v>
      </c>
      <c r="E397" s="333"/>
      <c r="F397" s="322"/>
      <c r="G397" s="144" t="s">
        <v>752</v>
      </c>
      <c r="H397" s="144" t="s">
        <v>725</v>
      </c>
      <c r="I397" s="324"/>
      <c r="J397" s="325">
        <v>46227</v>
      </c>
      <c r="K397" s="325">
        <v>46357</v>
      </c>
      <c r="L397" s="326" t="s">
        <v>726</v>
      </c>
      <c r="M397" s="322"/>
      <c r="N397" s="322"/>
    </row>
    <row r="398" spans="1:14" s="7" customFormat="1" ht="15.75" x14ac:dyDescent="0.2">
      <c r="A398" s="334"/>
      <c r="B398" s="335"/>
      <c r="C398" s="334"/>
      <c r="D398" s="336"/>
      <c r="E398" s="336"/>
      <c r="F398" s="336"/>
      <c r="G398" s="337"/>
      <c r="H398" s="336"/>
      <c r="I398" s="338"/>
      <c r="J398" s="337"/>
      <c r="K398" s="337"/>
      <c r="L398" s="339"/>
      <c r="M398" s="339"/>
      <c r="N398" s="337"/>
    </row>
    <row r="399" spans="1:14" s="6" customFormat="1" ht="16.5" x14ac:dyDescent="0.3">
      <c r="A399" s="340" t="s">
        <v>754</v>
      </c>
      <c r="B399" s="340"/>
      <c r="C399" s="340"/>
      <c r="D399" s="340"/>
      <c r="E399" s="340"/>
      <c r="F399" s="340"/>
      <c r="G399" s="340"/>
      <c r="H399" s="340"/>
      <c r="I399" s="340"/>
      <c r="J399" s="340"/>
      <c r="K399" s="340"/>
      <c r="L399" s="340"/>
      <c r="M399" s="340"/>
      <c r="N399" s="340"/>
    </row>
    <row r="400" spans="1:14" s="6" customFormat="1" ht="16.5" x14ac:dyDescent="0.3">
      <c r="A400" s="858" t="s">
        <v>4</v>
      </c>
      <c r="B400" s="890" t="s">
        <v>5</v>
      </c>
      <c r="C400" s="858" t="s">
        <v>6</v>
      </c>
      <c r="D400" s="858" t="s">
        <v>7</v>
      </c>
      <c r="E400" s="858" t="s">
        <v>8</v>
      </c>
      <c r="F400" s="858" t="s">
        <v>9</v>
      </c>
      <c r="G400" s="858" t="s">
        <v>10</v>
      </c>
      <c r="H400" s="858" t="s">
        <v>11</v>
      </c>
      <c r="I400" s="891" t="s">
        <v>12</v>
      </c>
      <c r="J400" s="858" t="s">
        <v>13</v>
      </c>
      <c r="K400" s="858"/>
      <c r="L400" s="892" t="s">
        <v>14</v>
      </c>
      <c r="M400" s="892"/>
      <c r="N400" s="858" t="s">
        <v>15</v>
      </c>
    </row>
    <row r="401" spans="1:14" s="6" customFormat="1" ht="27" x14ac:dyDescent="0.3">
      <c r="A401" s="854"/>
      <c r="B401" s="858"/>
      <c r="C401" s="854"/>
      <c r="D401" s="854"/>
      <c r="E401" s="854"/>
      <c r="F401" s="854"/>
      <c r="G401" s="854"/>
      <c r="H401" s="854"/>
      <c r="I401" s="856"/>
      <c r="J401" s="859" t="s">
        <v>16</v>
      </c>
      <c r="K401" s="859" t="s">
        <v>17</v>
      </c>
      <c r="L401" s="860" t="s">
        <v>18</v>
      </c>
      <c r="M401" s="861" t="s">
        <v>19</v>
      </c>
      <c r="N401" s="854"/>
    </row>
    <row r="402" spans="1:14" s="7" customFormat="1" ht="153" x14ac:dyDescent="0.25">
      <c r="A402" s="341" t="s">
        <v>753</v>
      </c>
      <c r="B402" s="341" t="s">
        <v>24</v>
      </c>
      <c r="C402" s="341" t="s">
        <v>754</v>
      </c>
      <c r="D402" s="341" t="s">
        <v>755</v>
      </c>
      <c r="E402" s="144" t="s">
        <v>756</v>
      </c>
      <c r="F402" s="145"/>
      <c r="G402" s="145"/>
      <c r="H402" s="342" t="s">
        <v>244</v>
      </c>
      <c r="I402" s="145"/>
      <c r="J402" s="343" t="s">
        <v>757</v>
      </c>
      <c r="K402" s="344" t="s">
        <v>758</v>
      </c>
      <c r="L402" s="123"/>
      <c r="M402" s="345"/>
      <c r="N402" s="341" t="s">
        <v>759</v>
      </c>
    </row>
    <row r="403" spans="1:14" s="7" customFormat="1" ht="114" customHeight="1" x14ac:dyDescent="0.25">
      <c r="A403" s="341"/>
      <c r="B403" s="341" t="s">
        <v>24</v>
      </c>
      <c r="C403" s="341" t="s">
        <v>754</v>
      </c>
      <c r="D403" s="341" t="s">
        <v>760</v>
      </c>
      <c r="E403" s="144" t="s">
        <v>761</v>
      </c>
      <c r="F403" s="145"/>
      <c r="G403" s="145"/>
      <c r="H403" s="342" t="s">
        <v>244</v>
      </c>
      <c r="I403" s="145"/>
      <c r="J403" s="123"/>
      <c r="K403" s="346"/>
      <c r="L403" s="347"/>
      <c r="M403" s="348"/>
      <c r="N403" s="341" t="s">
        <v>759</v>
      </c>
    </row>
    <row r="404" spans="1:14" s="7" customFormat="1" ht="145.5" customHeight="1" x14ac:dyDescent="0.25">
      <c r="A404" s="341" t="s">
        <v>762</v>
      </c>
      <c r="B404" s="341" t="s">
        <v>24</v>
      </c>
      <c r="C404" s="341" t="s">
        <v>754</v>
      </c>
      <c r="D404" s="341" t="s">
        <v>763</v>
      </c>
      <c r="E404" s="144" t="s">
        <v>764</v>
      </c>
      <c r="F404" s="145"/>
      <c r="G404" s="145"/>
      <c r="H404" s="342" t="s">
        <v>244</v>
      </c>
      <c r="I404" s="145"/>
      <c r="J404" s="123"/>
      <c r="K404" s="346"/>
      <c r="L404" s="347"/>
      <c r="M404" s="348"/>
      <c r="N404" s="341" t="s">
        <v>759</v>
      </c>
    </row>
    <row r="405" spans="1:14" s="7" customFormat="1" ht="165.75" x14ac:dyDescent="0.25">
      <c r="A405" s="341" t="s">
        <v>765</v>
      </c>
      <c r="B405" s="341" t="s">
        <v>24</v>
      </c>
      <c r="C405" s="341" t="s">
        <v>382</v>
      </c>
      <c r="D405" s="341" t="s">
        <v>766</v>
      </c>
      <c r="E405" s="144" t="s">
        <v>767</v>
      </c>
      <c r="F405" s="145"/>
      <c r="G405" s="145"/>
      <c r="H405" s="342" t="s">
        <v>244</v>
      </c>
      <c r="I405" s="145"/>
      <c r="J405" s="123"/>
      <c r="K405" s="346"/>
      <c r="L405" s="123"/>
      <c r="M405" s="348"/>
      <c r="N405" s="341" t="s">
        <v>759</v>
      </c>
    </row>
    <row r="406" spans="1:14" s="7" customFormat="1" ht="94.5" customHeight="1" x14ac:dyDescent="0.25">
      <c r="A406" s="144" t="s">
        <v>768</v>
      </c>
      <c r="B406" s="341" t="s">
        <v>24</v>
      </c>
      <c r="C406" s="341" t="s">
        <v>754</v>
      </c>
      <c r="D406" s="341" t="s">
        <v>769</v>
      </c>
      <c r="E406" s="144" t="s">
        <v>770</v>
      </c>
      <c r="F406" s="145"/>
      <c r="G406" s="145"/>
      <c r="H406" s="342" t="s">
        <v>244</v>
      </c>
      <c r="I406" s="145"/>
      <c r="J406" s="145"/>
      <c r="K406" s="348"/>
      <c r="L406" s="123"/>
      <c r="M406" s="348"/>
      <c r="N406" s="341" t="s">
        <v>759</v>
      </c>
    </row>
    <row r="407" spans="1:14" s="7" customFormat="1" ht="127.5" x14ac:dyDescent="0.25">
      <c r="A407" s="341" t="s">
        <v>771</v>
      </c>
      <c r="B407" s="341" t="s">
        <v>24</v>
      </c>
      <c r="C407" s="341" t="s">
        <v>754</v>
      </c>
      <c r="D407" s="341" t="s">
        <v>772</v>
      </c>
      <c r="E407" s="144" t="s">
        <v>773</v>
      </c>
      <c r="F407" s="145"/>
      <c r="G407" s="145"/>
      <c r="H407" s="342" t="s">
        <v>244</v>
      </c>
      <c r="I407" s="145"/>
      <c r="J407" s="123"/>
      <c r="K407" s="348"/>
      <c r="L407" s="145"/>
      <c r="M407" s="348"/>
      <c r="N407" s="341" t="s">
        <v>759</v>
      </c>
    </row>
    <row r="408" spans="1:14" s="6" customFormat="1" ht="16.5" x14ac:dyDescent="0.3">
      <c r="A408" s="16" t="s">
        <v>774</v>
      </c>
      <c r="B408" s="16"/>
      <c r="C408" s="16"/>
      <c r="D408" s="16"/>
      <c r="E408" s="16"/>
      <c r="F408" s="16"/>
      <c r="G408" s="16"/>
      <c r="H408" s="16"/>
      <c r="I408" s="16"/>
      <c r="J408" s="16"/>
      <c r="K408" s="16"/>
      <c r="L408" s="16"/>
      <c r="M408" s="16"/>
      <c r="N408" s="16"/>
    </row>
    <row r="409" spans="1:14" s="7" customFormat="1" ht="15.75" customHeight="1" x14ac:dyDescent="0.25">
      <c r="A409" s="349" t="s">
        <v>912</v>
      </c>
      <c r="B409" s="350"/>
      <c r="C409" s="350"/>
      <c r="D409" s="350"/>
      <c r="E409" s="350"/>
      <c r="F409" s="350"/>
      <c r="G409" s="350"/>
      <c r="H409" s="350"/>
      <c r="I409" s="350"/>
      <c r="J409" s="350"/>
      <c r="K409" s="350"/>
      <c r="L409" s="350"/>
      <c r="M409" s="350"/>
      <c r="N409" s="351"/>
    </row>
    <row r="410" spans="1:14" s="7" customFormat="1" ht="15.75" x14ac:dyDescent="0.25">
      <c r="A410" s="352" t="s">
        <v>913</v>
      </c>
      <c r="B410" s="353"/>
      <c r="C410" s="353"/>
      <c r="D410" s="353"/>
      <c r="E410" s="353"/>
      <c r="F410" s="353"/>
      <c r="G410" s="353"/>
      <c r="H410" s="353"/>
      <c r="I410" s="353"/>
      <c r="J410" s="353"/>
      <c r="K410" s="353"/>
      <c r="L410" s="353"/>
      <c r="M410" s="353"/>
      <c r="N410" s="354"/>
    </row>
    <row r="411" spans="1:14" s="7" customFormat="1" ht="63.75" x14ac:dyDescent="0.25">
      <c r="A411" s="355" t="s">
        <v>914</v>
      </c>
      <c r="B411" s="356" t="s">
        <v>777</v>
      </c>
      <c r="C411" s="355" t="s">
        <v>915</v>
      </c>
      <c r="D411" s="356"/>
      <c r="E411" s="355"/>
      <c r="F411" s="355"/>
      <c r="G411" s="357"/>
      <c r="H411" s="357"/>
      <c r="I411" s="355"/>
      <c r="J411" s="357"/>
      <c r="K411" s="357"/>
      <c r="L411" s="357"/>
      <c r="M411" s="355"/>
      <c r="N411" s="355"/>
    </row>
    <row r="412" spans="1:14" s="7" customFormat="1" ht="409.5" x14ac:dyDescent="0.25">
      <c r="A412" s="355" t="s">
        <v>916</v>
      </c>
      <c r="B412" s="356"/>
      <c r="C412" s="358"/>
      <c r="D412" s="356" t="s">
        <v>917</v>
      </c>
      <c r="E412" s="355" t="s">
        <v>918</v>
      </c>
      <c r="F412" s="355" t="s">
        <v>919</v>
      </c>
      <c r="G412" s="357" t="s">
        <v>882</v>
      </c>
      <c r="H412" s="357" t="s">
        <v>920</v>
      </c>
      <c r="I412" s="359">
        <v>1470000</v>
      </c>
      <c r="J412" s="360" t="s">
        <v>921</v>
      </c>
      <c r="K412" s="360" t="s">
        <v>922</v>
      </c>
      <c r="L412" s="361" t="s">
        <v>923</v>
      </c>
      <c r="M412" s="359">
        <v>430258.36</v>
      </c>
      <c r="N412" s="355" t="s">
        <v>1751</v>
      </c>
    </row>
    <row r="413" spans="1:14" s="7" customFormat="1" ht="129" customHeight="1" x14ac:dyDescent="0.25">
      <c r="A413" s="355" t="s">
        <v>924</v>
      </c>
      <c r="B413" s="357"/>
      <c r="C413" s="358"/>
      <c r="D413" s="356" t="s">
        <v>925</v>
      </c>
      <c r="E413" s="355" t="s">
        <v>926</v>
      </c>
      <c r="F413" s="355" t="s">
        <v>927</v>
      </c>
      <c r="G413" s="357" t="s">
        <v>882</v>
      </c>
      <c r="H413" s="357" t="s">
        <v>783</v>
      </c>
      <c r="I413" s="359">
        <v>1500000</v>
      </c>
      <c r="J413" s="357" t="s">
        <v>906</v>
      </c>
      <c r="K413" s="362"/>
      <c r="L413" s="363">
        <v>3.8199999999999998E-2</v>
      </c>
      <c r="M413" s="359"/>
      <c r="N413" s="355" t="s">
        <v>928</v>
      </c>
    </row>
    <row r="414" spans="1:14" s="7" customFormat="1" ht="178.5" x14ac:dyDescent="0.25">
      <c r="A414" s="355" t="s">
        <v>929</v>
      </c>
      <c r="B414" s="357"/>
      <c r="C414" s="358"/>
      <c r="D414" s="356" t="s">
        <v>930</v>
      </c>
      <c r="E414" s="355" t="s">
        <v>926</v>
      </c>
      <c r="F414" s="355" t="s">
        <v>931</v>
      </c>
      <c r="G414" s="357" t="s">
        <v>882</v>
      </c>
      <c r="H414" s="357" t="s">
        <v>920</v>
      </c>
      <c r="I414" s="359">
        <v>250000</v>
      </c>
      <c r="J414" s="362">
        <v>45658</v>
      </c>
      <c r="K414" s="362">
        <v>45992</v>
      </c>
      <c r="L414" s="356" t="s">
        <v>930</v>
      </c>
      <c r="M414" s="355"/>
      <c r="N414" s="355" t="s">
        <v>932</v>
      </c>
    </row>
    <row r="415" spans="1:14" s="7" customFormat="1" ht="127.5" x14ac:dyDescent="0.25">
      <c r="A415" s="355" t="s">
        <v>933</v>
      </c>
      <c r="B415" s="357"/>
      <c r="C415" s="358"/>
      <c r="D415" s="356" t="s">
        <v>934</v>
      </c>
      <c r="E415" s="355" t="s">
        <v>935</v>
      </c>
      <c r="F415" s="355" t="s">
        <v>936</v>
      </c>
      <c r="G415" s="357" t="s">
        <v>882</v>
      </c>
      <c r="H415" s="357" t="s">
        <v>920</v>
      </c>
      <c r="I415" s="359">
        <v>300000</v>
      </c>
      <c r="J415" s="362">
        <v>45658</v>
      </c>
      <c r="K415" s="362">
        <v>45992</v>
      </c>
      <c r="L415" s="356" t="s">
        <v>934</v>
      </c>
      <c r="M415" s="359">
        <v>242198.43</v>
      </c>
      <c r="N415" s="355" t="s">
        <v>937</v>
      </c>
    </row>
    <row r="416" spans="1:14" s="7" customFormat="1" ht="38.25" x14ac:dyDescent="0.25">
      <c r="A416" s="355" t="s">
        <v>938</v>
      </c>
      <c r="B416" s="356" t="s">
        <v>777</v>
      </c>
      <c r="C416" s="355" t="s">
        <v>939</v>
      </c>
      <c r="D416" s="356"/>
      <c r="E416" s="355"/>
      <c r="F416" s="355"/>
      <c r="G416" s="357"/>
      <c r="H416" s="357"/>
      <c r="I416" s="359"/>
      <c r="J416" s="357"/>
      <c r="K416" s="357"/>
      <c r="L416" s="357"/>
      <c r="M416" s="355"/>
      <c r="N416" s="355"/>
    </row>
    <row r="417" spans="1:14" s="7" customFormat="1" ht="127.5" x14ac:dyDescent="0.25">
      <c r="A417" s="355" t="s">
        <v>940</v>
      </c>
      <c r="B417" s="357"/>
      <c r="C417" s="355"/>
      <c r="D417" s="356" t="s">
        <v>941</v>
      </c>
      <c r="E417" s="355" t="s">
        <v>942</v>
      </c>
      <c r="F417" s="355" t="s">
        <v>943</v>
      </c>
      <c r="G417" s="357" t="s">
        <v>882</v>
      </c>
      <c r="H417" s="357" t="s">
        <v>920</v>
      </c>
      <c r="I417" s="359">
        <v>600000</v>
      </c>
      <c r="J417" s="360" t="s">
        <v>921</v>
      </c>
      <c r="K417" s="360" t="s">
        <v>848</v>
      </c>
      <c r="L417" s="361" t="s">
        <v>941</v>
      </c>
      <c r="M417" s="355"/>
      <c r="N417" s="355" t="s">
        <v>937</v>
      </c>
    </row>
    <row r="418" spans="1:14" s="7" customFormat="1" ht="51" x14ac:dyDescent="0.25">
      <c r="A418" s="355"/>
      <c r="B418" s="357"/>
      <c r="C418" s="364"/>
      <c r="D418" s="356" t="s">
        <v>944</v>
      </c>
      <c r="E418" s="365" t="s">
        <v>945</v>
      </c>
      <c r="F418" s="355" t="s">
        <v>946</v>
      </c>
      <c r="G418" s="357" t="s">
        <v>882</v>
      </c>
      <c r="H418" s="357" t="s">
        <v>920</v>
      </c>
      <c r="I418" s="359">
        <v>300000</v>
      </c>
      <c r="J418" s="360" t="s">
        <v>921</v>
      </c>
      <c r="K418" s="360" t="s">
        <v>848</v>
      </c>
      <c r="L418" s="357" t="s">
        <v>947</v>
      </c>
      <c r="M418" s="355"/>
      <c r="N418" s="366" t="s">
        <v>948</v>
      </c>
    </row>
    <row r="419" spans="1:14" s="7" customFormat="1" ht="86.25" customHeight="1" x14ac:dyDescent="0.25">
      <c r="A419" s="355"/>
      <c r="B419" s="357"/>
      <c r="C419" s="364"/>
      <c r="D419" s="356" t="s">
        <v>949</v>
      </c>
      <c r="E419" s="356" t="s">
        <v>950</v>
      </c>
      <c r="F419" s="355" t="s">
        <v>946</v>
      </c>
      <c r="G419" s="357" t="s">
        <v>882</v>
      </c>
      <c r="H419" s="357" t="s">
        <v>920</v>
      </c>
      <c r="I419" s="359">
        <v>200000</v>
      </c>
      <c r="J419" s="360" t="s">
        <v>921</v>
      </c>
      <c r="K419" s="360" t="s">
        <v>848</v>
      </c>
      <c r="L419" s="357" t="s">
        <v>951</v>
      </c>
      <c r="M419" s="355"/>
      <c r="N419" s="367"/>
    </row>
    <row r="420" spans="1:14" s="7" customFormat="1" ht="127.5" x14ac:dyDescent="0.25">
      <c r="A420" s="355"/>
      <c r="B420" s="368"/>
      <c r="C420" s="358"/>
      <c r="D420" s="356" t="s">
        <v>952</v>
      </c>
      <c r="E420" s="355" t="s">
        <v>953</v>
      </c>
      <c r="F420" s="355" t="s">
        <v>954</v>
      </c>
      <c r="G420" s="357" t="s">
        <v>882</v>
      </c>
      <c r="H420" s="357" t="s">
        <v>955</v>
      </c>
      <c r="I420" s="359">
        <v>450000</v>
      </c>
      <c r="J420" s="360" t="s">
        <v>921</v>
      </c>
      <c r="K420" s="360" t="s">
        <v>848</v>
      </c>
      <c r="L420" s="356" t="s">
        <v>956</v>
      </c>
      <c r="M420" s="355"/>
      <c r="N420" s="355" t="s">
        <v>957</v>
      </c>
    </row>
    <row r="421" spans="1:14" s="7" customFormat="1" ht="89.25" x14ac:dyDescent="0.25">
      <c r="A421" s="355" t="s">
        <v>958</v>
      </c>
      <c r="B421" s="357"/>
      <c r="C421" s="358"/>
      <c r="D421" s="355" t="s">
        <v>959</v>
      </c>
      <c r="E421" s="355" t="s">
        <v>960</v>
      </c>
      <c r="F421" s="355" t="s">
        <v>961</v>
      </c>
      <c r="G421" s="357" t="s">
        <v>962</v>
      </c>
      <c r="H421" s="357" t="s">
        <v>920</v>
      </c>
      <c r="I421" s="359">
        <v>1233000</v>
      </c>
      <c r="J421" s="362">
        <v>45658</v>
      </c>
      <c r="K421" s="360" t="s">
        <v>922</v>
      </c>
      <c r="L421" s="356" t="s">
        <v>963</v>
      </c>
      <c r="M421" s="359">
        <v>230735</v>
      </c>
      <c r="N421" s="356" t="s">
        <v>964</v>
      </c>
    </row>
    <row r="422" spans="1:14" s="7" customFormat="1" ht="114.75" x14ac:dyDescent="0.25">
      <c r="A422" s="355"/>
      <c r="B422" s="357"/>
      <c r="C422" s="369"/>
      <c r="D422" s="370" t="s">
        <v>965</v>
      </c>
      <c r="E422" s="355" t="s">
        <v>966</v>
      </c>
      <c r="F422" s="355" t="s">
        <v>927</v>
      </c>
      <c r="G422" s="371" t="s">
        <v>882</v>
      </c>
      <c r="H422" s="371" t="s">
        <v>920</v>
      </c>
      <c r="I422" s="359">
        <v>1000000</v>
      </c>
      <c r="J422" s="360" t="s">
        <v>921</v>
      </c>
      <c r="K422" s="360" t="s">
        <v>922</v>
      </c>
      <c r="L422" s="356" t="s">
        <v>967</v>
      </c>
      <c r="M422" s="371">
        <v>149751.09</v>
      </c>
      <c r="N422" s="355" t="s">
        <v>968</v>
      </c>
    </row>
    <row r="423" spans="1:14" s="7" customFormat="1" ht="15.75" x14ac:dyDescent="0.25">
      <c r="A423" s="372" t="s">
        <v>969</v>
      </c>
      <c r="B423" s="373"/>
      <c r="C423" s="373"/>
      <c r="D423" s="373"/>
      <c r="E423" s="373"/>
      <c r="F423" s="373"/>
      <c r="G423" s="373"/>
      <c r="H423" s="373"/>
      <c r="I423" s="373"/>
      <c r="J423" s="373"/>
      <c r="K423" s="373"/>
      <c r="L423" s="373"/>
      <c r="M423" s="373"/>
      <c r="N423" s="374"/>
    </row>
    <row r="424" spans="1:14" s="7" customFormat="1" ht="38.25" x14ac:dyDescent="0.25">
      <c r="A424" s="375" t="s">
        <v>914</v>
      </c>
      <c r="B424" s="357" t="s">
        <v>777</v>
      </c>
      <c r="C424" s="376" t="s">
        <v>970</v>
      </c>
      <c r="D424" s="356"/>
      <c r="E424" s="355"/>
      <c r="F424" s="355"/>
      <c r="G424" s="368"/>
      <c r="H424" s="357"/>
      <c r="I424" s="377"/>
      <c r="J424" s="378"/>
      <c r="K424" s="378"/>
      <c r="L424" s="357"/>
      <c r="M424" s="359"/>
      <c r="N424" s="355"/>
    </row>
    <row r="425" spans="1:14" s="7" customFormat="1" ht="25.5" x14ac:dyDescent="0.25">
      <c r="A425" s="375" t="s">
        <v>916</v>
      </c>
      <c r="B425" s="357"/>
      <c r="C425" s="379"/>
      <c r="D425" s="356" t="s">
        <v>971</v>
      </c>
      <c r="E425" s="355"/>
      <c r="F425" s="355"/>
      <c r="G425" s="368"/>
      <c r="H425" s="357" t="s">
        <v>824</v>
      </c>
      <c r="I425" s="377">
        <v>800000</v>
      </c>
      <c r="J425" s="380" t="s">
        <v>818</v>
      </c>
      <c r="K425" s="380" t="s">
        <v>819</v>
      </c>
      <c r="L425" s="357"/>
      <c r="M425" s="359"/>
      <c r="N425" s="355"/>
    </row>
    <row r="426" spans="1:14" s="7" customFormat="1" ht="102" x14ac:dyDescent="0.25">
      <c r="A426" s="375" t="s">
        <v>924</v>
      </c>
      <c r="B426" s="357"/>
      <c r="C426" s="381"/>
      <c r="D426" s="356" t="s">
        <v>972</v>
      </c>
      <c r="E426" s="356"/>
      <c r="F426" s="356"/>
      <c r="G426" s="368"/>
      <c r="H426" s="357" t="s">
        <v>824</v>
      </c>
      <c r="I426" s="382">
        <v>50000</v>
      </c>
      <c r="J426" s="380" t="s">
        <v>818</v>
      </c>
      <c r="K426" s="380" t="s">
        <v>819</v>
      </c>
      <c r="L426" s="357"/>
      <c r="M426" s="370"/>
      <c r="N426" s="356"/>
    </row>
    <row r="427" spans="1:14" s="7" customFormat="1" ht="38.25" x14ac:dyDescent="0.25">
      <c r="A427" s="375" t="s">
        <v>973</v>
      </c>
      <c r="B427" s="383"/>
      <c r="C427" s="357"/>
      <c r="D427" s="356" t="s">
        <v>974</v>
      </c>
      <c r="E427" s="355"/>
      <c r="F427" s="355"/>
      <c r="G427" s="368"/>
      <c r="H427" s="357" t="s">
        <v>824</v>
      </c>
      <c r="I427" s="384">
        <v>150000</v>
      </c>
      <c r="J427" s="380" t="s">
        <v>818</v>
      </c>
      <c r="K427" s="380" t="s">
        <v>819</v>
      </c>
      <c r="L427" s="357"/>
      <c r="M427" s="359"/>
      <c r="N427" s="355"/>
    </row>
    <row r="428" spans="1:14" s="7" customFormat="1" ht="51" x14ac:dyDescent="0.25">
      <c r="A428" s="375" t="s">
        <v>975</v>
      </c>
      <c r="B428" s="357"/>
      <c r="C428" s="357"/>
      <c r="D428" s="356" t="s">
        <v>934</v>
      </c>
      <c r="E428" s="355"/>
      <c r="F428" s="355"/>
      <c r="G428" s="368"/>
      <c r="H428" s="357" t="s">
        <v>824</v>
      </c>
      <c r="I428" s="384">
        <v>150000</v>
      </c>
      <c r="J428" s="380" t="s">
        <v>818</v>
      </c>
      <c r="K428" s="380" t="s">
        <v>819</v>
      </c>
      <c r="L428" s="357"/>
      <c r="M428" s="359"/>
      <c r="N428" s="355"/>
    </row>
    <row r="429" spans="1:14" s="7" customFormat="1" ht="51" x14ac:dyDescent="0.25">
      <c r="A429" s="375" t="s">
        <v>976</v>
      </c>
      <c r="B429" s="383" t="s">
        <v>777</v>
      </c>
      <c r="C429" s="356" t="s">
        <v>977</v>
      </c>
      <c r="D429" s="356"/>
      <c r="E429" s="355"/>
      <c r="F429" s="355"/>
      <c r="G429" s="368"/>
      <c r="H429" s="357"/>
      <c r="I429" s="384"/>
      <c r="J429" s="378"/>
      <c r="K429" s="378"/>
      <c r="L429" s="357"/>
      <c r="M429" s="359"/>
      <c r="N429" s="355"/>
    </row>
    <row r="430" spans="1:14" s="7" customFormat="1" ht="38.25" x14ac:dyDescent="0.25">
      <c r="A430" s="375" t="s">
        <v>978</v>
      </c>
      <c r="B430" s="357"/>
      <c r="C430" s="357"/>
      <c r="D430" s="356" t="s">
        <v>979</v>
      </c>
      <c r="E430" s="355"/>
      <c r="F430" s="355"/>
      <c r="G430" s="368"/>
      <c r="H430" s="357" t="s">
        <v>824</v>
      </c>
      <c r="I430" s="384">
        <v>500000</v>
      </c>
      <c r="J430" s="380" t="s">
        <v>818</v>
      </c>
      <c r="K430" s="380" t="s">
        <v>819</v>
      </c>
      <c r="L430" s="357"/>
      <c r="M430" s="359"/>
      <c r="N430" s="355"/>
    </row>
    <row r="431" spans="1:14" s="7" customFormat="1" ht="51" x14ac:dyDescent="0.25">
      <c r="A431" s="375" t="s">
        <v>980</v>
      </c>
      <c r="B431" s="383" t="s">
        <v>777</v>
      </c>
      <c r="C431" s="356" t="s">
        <v>981</v>
      </c>
      <c r="D431" s="356"/>
      <c r="E431" s="355"/>
      <c r="F431" s="355"/>
      <c r="G431" s="368"/>
      <c r="H431" s="357"/>
      <c r="I431" s="377"/>
      <c r="J431" s="378"/>
      <c r="K431" s="378"/>
      <c r="L431" s="357"/>
      <c r="M431" s="359"/>
      <c r="N431" s="355"/>
    </row>
    <row r="432" spans="1:14" s="7" customFormat="1" ht="51" x14ac:dyDescent="0.25">
      <c r="A432" s="355" t="s">
        <v>982</v>
      </c>
      <c r="B432" s="383"/>
      <c r="C432" s="356"/>
      <c r="D432" s="356" t="s">
        <v>983</v>
      </c>
      <c r="E432" s="356"/>
      <c r="F432" s="356"/>
      <c r="G432" s="368"/>
      <c r="H432" s="357" t="s">
        <v>824</v>
      </c>
      <c r="I432" s="382">
        <v>800000</v>
      </c>
      <c r="J432" s="380" t="s">
        <v>818</v>
      </c>
      <c r="K432" s="380" t="s">
        <v>819</v>
      </c>
      <c r="L432" s="357"/>
      <c r="M432" s="370"/>
      <c r="N432" s="356"/>
    </row>
    <row r="433" spans="1:14" s="7" customFormat="1" ht="15.75" customHeight="1" x14ac:dyDescent="0.25">
      <c r="A433" s="356" t="s">
        <v>984</v>
      </c>
      <c r="B433" s="383"/>
      <c r="C433" s="355"/>
      <c r="D433" s="356" t="s">
        <v>985</v>
      </c>
      <c r="E433" s="355"/>
      <c r="F433" s="355"/>
      <c r="G433" s="357"/>
      <c r="H433" s="357" t="s">
        <v>824</v>
      </c>
      <c r="I433" s="377">
        <v>2000000</v>
      </c>
      <c r="J433" s="380" t="s">
        <v>818</v>
      </c>
      <c r="K433" s="380" t="s">
        <v>819</v>
      </c>
      <c r="L433" s="357"/>
      <c r="M433" s="355"/>
      <c r="N433" s="355"/>
    </row>
    <row r="434" spans="1:14" s="7" customFormat="1" ht="15.75" customHeight="1" x14ac:dyDescent="0.25">
      <c r="A434" s="375" t="s">
        <v>986</v>
      </c>
      <c r="B434" s="375" t="s">
        <v>777</v>
      </c>
      <c r="C434" s="355"/>
      <c r="D434" s="356"/>
      <c r="E434" s="355"/>
      <c r="F434" s="355"/>
      <c r="G434" s="357"/>
      <c r="H434" s="357"/>
      <c r="I434" s="377"/>
      <c r="J434" s="378"/>
      <c r="K434" s="378"/>
      <c r="L434" s="357"/>
      <c r="M434" s="355"/>
      <c r="N434" s="355"/>
    </row>
    <row r="435" spans="1:14" s="7" customFormat="1" ht="36" customHeight="1" x14ac:dyDescent="0.25">
      <c r="A435" s="356" t="s">
        <v>987</v>
      </c>
      <c r="B435" s="383"/>
      <c r="C435" s="355"/>
      <c r="D435" s="356" t="s">
        <v>988</v>
      </c>
      <c r="E435" s="355"/>
      <c r="F435" s="355"/>
      <c r="G435" s="357"/>
      <c r="H435" s="357" t="s">
        <v>824</v>
      </c>
      <c r="I435" s="377">
        <v>400000</v>
      </c>
      <c r="J435" s="380" t="s">
        <v>818</v>
      </c>
      <c r="K435" s="380" t="s">
        <v>819</v>
      </c>
      <c r="L435" s="357"/>
      <c r="M435" s="355"/>
      <c r="N435" s="355"/>
    </row>
    <row r="436" spans="1:14" s="7" customFormat="1" ht="15.75" x14ac:dyDescent="0.25">
      <c r="A436" s="385" t="s">
        <v>989</v>
      </c>
      <c r="B436" s="386"/>
      <c r="C436" s="386"/>
      <c r="D436" s="386"/>
      <c r="E436" s="386"/>
      <c r="F436" s="386"/>
      <c r="G436" s="386"/>
      <c r="H436" s="386"/>
      <c r="I436" s="386"/>
      <c r="J436" s="386"/>
      <c r="K436" s="386"/>
      <c r="L436" s="386"/>
      <c r="M436" s="386"/>
      <c r="N436" s="387"/>
    </row>
    <row r="437" spans="1:14" s="7" customFormat="1" ht="15.75" x14ac:dyDescent="0.25">
      <c r="A437" s="388" t="s">
        <v>913</v>
      </c>
      <c r="B437" s="389"/>
      <c r="C437" s="389"/>
      <c r="D437" s="389"/>
      <c r="E437" s="389"/>
      <c r="F437" s="389"/>
      <c r="G437" s="389"/>
      <c r="H437" s="389"/>
      <c r="I437" s="389"/>
      <c r="J437" s="389"/>
      <c r="K437" s="389"/>
      <c r="L437" s="389"/>
      <c r="M437" s="389"/>
      <c r="N437" s="390"/>
    </row>
    <row r="438" spans="1:14" s="7" customFormat="1" ht="45" customHeight="1" x14ac:dyDescent="0.25">
      <c r="A438" s="145" t="s">
        <v>990</v>
      </c>
      <c r="B438" s="278" t="s">
        <v>777</v>
      </c>
      <c r="C438" s="278"/>
      <c r="D438" s="280"/>
      <c r="E438" s="278"/>
      <c r="F438" s="391"/>
      <c r="G438" s="392"/>
      <c r="H438" s="284"/>
      <c r="I438" s="392"/>
      <c r="J438" s="145"/>
      <c r="K438" s="145"/>
      <c r="L438" s="393"/>
      <c r="M438" s="145"/>
      <c r="N438" s="145"/>
    </row>
    <row r="439" spans="1:14" s="7" customFormat="1" ht="140.25" x14ac:dyDescent="0.25">
      <c r="A439" s="145" t="s">
        <v>991</v>
      </c>
      <c r="B439" s="278"/>
      <c r="C439" s="394" t="s">
        <v>992</v>
      </c>
      <c r="D439" s="145" t="s">
        <v>993</v>
      </c>
      <c r="E439" s="145" t="s">
        <v>994</v>
      </c>
      <c r="F439" s="145" t="s">
        <v>995</v>
      </c>
      <c r="G439" s="392" t="s">
        <v>996</v>
      </c>
      <c r="H439" s="280" t="s">
        <v>199</v>
      </c>
      <c r="I439" s="395">
        <v>200000</v>
      </c>
      <c r="J439" s="280" t="s">
        <v>875</v>
      </c>
      <c r="K439" s="280" t="s">
        <v>997</v>
      </c>
      <c r="L439" s="278"/>
      <c r="M439" s="145"/>
      <c r="N439" s="153" t="s">
        <v>998</v>
      </c>
    </row>
    <row r="440" spans="1:14" s="7" customFormat="1" ht="108" customHeight="1" x14ac:dyDescent="0.25">
      <c r="A440" s="145" t="s">
        <v>999</v>
      </c>
      <c r="B440" s="278"/>
      <c r="C440" s="394"/>
      <c r="D440" s="145" t="s">
        <v>1000</v>
      </c>
      <c r="E440" s="145" t="s">
        <v>1001</v>
      </c>
      <c r="F440" s="145" t="s">
        <v>995</v>
      </c>
      <c r="G440" s="392" t="s">
        <v>388</v>
      </c>
      <c r="H440" s="280" t="s">
        <v>199</v>
      </c>
      <c r="I440" s="395">
        <v>200000</v>
      </c>
      <c r="J440" s="280" t="s">
        <v>875</v>
      </c>
      <c r="K440" s="280" t="s">
        <v>997</v>
      </c>
      <c r="L440" s="278"/>
      <c r="M440" s="145"/>
      <c r="N440" s="168"/>
    </row>
    <row r="441" spans="1:14" s="7" customFormat="1" ht="46.5" customHeight="1" x14ac:dyDescent="0.25">
      <c r="A441" s="145" t="s">
        <v>1002</v>
      </c>
      <c r="B441" s="278" t="s">
        <v>777</v>
      </c>
      <c r="C441" s="278"/>
      <c r="D441" s="280"/>
      <c r="E441" s="278"/>
      <c r="F441" s="391"/>
      <c r="G441" s="392"/>
      <c r="H441" s="284"/>
      <c r="I441" s="392"/>
      <c r="J441" s="145"/>
      <c r="K441" s="145"/>
      <c r="L441" s="393"/>
      <c r="M441" s="145"/>
      <c r="N441" s="145"/>
    </row>
    <row r="442" spans="1:14" s="7" customFormat="1" ht="94.5" customHeight="1" x14ac:dyDescent="0.25">
      <c r="A442" s="145" t="s">
        <v>1003</v>
      </c>
      <c r="B442" s="145"/>
      <c r="C442" s="278" t="s">
        <v>1004</v>
      </c>
      <c r="D442" s="145" t="s">
        <v>1005</v>
      </c>
      <c r="E442" s="145" t="s">
        <v>1006</v>
      </c>
      <c r="F442" s="391" t="s">
        <v>995</v>
      </c>
      <c r="G442" s="392" t="s">
        <v>388</v>
      </c>
      <c r="H442" s="284" t="s">
        <v>199</v>
      </c>
      <c r="I442" s="395">
        <v>100000</v>
      </c>
      <c r="J442" s="280" t="s">
        <v>875</v>
      </c>
      <c r="K442" s="280" t="s">
        <v>997</v>
      </c>
      <c r="L442" s="396"/>
      <c r="M442" s="145"/>
      <c r="N442" s="278" t="s">
        <v>1007</v>
      </c>
    </row>
    <row r="443" spans="1:14" s="7" customFormat="1" ht="38.25" x14ac:dyDescent="0.25">
      <c r="A443" s="145" t="s">
        <v>1008</v>
      </c>
      <c r="B443" s="278" t="s">
        <v>777</v>
      </c>
      <c r="C443" s="278"/>
      <c r="D443" s="280"/>
      <c r="E443" s="278"/>
      <c r="F443" s="391"/>
      <c r="G443" s="392"/>
      <c r="H443" s="284"/>
      <c r="I443" s="392"/>
      <c r="J443" s="145"/>
      <c r="K443" s="145"/>
      <c r="L443" s="393"/>
      <c r="M443" s="145"/>
      <c r="N443" s="145"/>
    </row>
    <row r="444" spans="1:14" s="7" customFormat="1" ht="216.75" x14ac:dyDescent="0.25">
      <c r="A444" s="145" t="s">
        <v>1009</v>
      </c>
      <c r="B444" s="145"/>
      <c r="C444" s="145" t="s">
        <v>1010</v>
      </c>
      <c r="D444" s="145" t="s">
        <v>1011</v>
      </c>
      <c r="E444" s="280" t="s">
        <v>1012</v>
      </c>
      <c r="F444" s="391" t="s">
        <v>1013</v>
      </c>
      <c r="G444" s="392" t="s">
        <v>388</v>
      </c>
      <c r="H444" s="284" t="s">
        <v>199</v>
      </c>
      <c r="I444" s="395">
        <v>400000</v>
      </c>
      <c r="J444" s="280" t="s">
        <v>875</v>
      </c>
      <c r="K444" s="280" t="s">
        <v>997</v>
      </c>
      <c r="L444" s="145" t="s">
        <v>1011</v>
      </c>
      <c r="M444" s="145"/>
      <c r="N444" s="397" t="s">
        <v>1014</v>
      </c>
    </row>
    <row r="445" spans="1:14" s="7" customFormat="1" ht="38.25" x14ac:dyDescent="0.25">
      <c r="A445" s="145" t="s">
        <v>1015</v>
      </c>
      <c r="B445" s="278" t="s">
        <v>777</v>
      </c>
      <c r="C445" s="278"/>
      <c r="D445" s="280"/>
      <c r="E445" s="278"/>
      <c r="F445" s="391"/>
      <c r="G445" s="392"/>
      <c r="H445" s="284"/>
      <c r="I445" s="392"/>
      <c r="J445" s="145"/>
      <c r="K445" s="145"/>
      <c r="L445" s="393"/>
      <c r="M445" s="145"/>
      <c r="N445" s="145"/>
    </row>
    <row r="446" spans="1:14" s="7" customFormat="1" ht="229.5" x14ac:dyDescent="0.25">
      <c r="A446" s="145" t="s">
        <v>1016</v>
      </c>
      <c r="B446" s="145"/>
      <c r="C446" s="145" t="s">
        <v>1017</v>
      </c>
      <c r="D446" s="145" t="s">
        <v>1018</v>
      </c>
      <c r="E446" s="145" t="s">
        <v>904</v>
      </c>
      <c r="F446" s="391" t="s">
        <v>995</v>
      </c>
      <c r="G446" s="392" t="s">
        <v>388</v>
      </c>
      <c r="H446" s="284" t="s">
        <v>199</v>
      </c>
      <c r="I446" s="395">
        <v>200000</v>
      </c>
      <c r="J446" s="280" t="s">
        <v>875</v>
      </c>
      <c r="K446" s="280" t="s">
        <v>997</v>
      </c>
      <c r="L446" s="146" t="s">
        <v>1019</v>
      </c>
      <c r="M446" s="145"/>
      <c r="N446" s="397" t="s">
        <v>1020</v>
      </c>
    </row>
    <row r="447" spans="1:14" s="7" customFormat="1" ht="38.25" x14ac:dyDescent="0.25">
      <c r="A447" s="145" t="s">
        <v>1021</v>
      </c>
      <c r="B447" s="278" t="s">
        <v>777</v>
      </c>
      <c r="C447" s="278"/>
      <c r="D447" s="280"/>
      <c r="E447" s="278"/>
      <c r="F447" s="391"/>
      <c r="G447" s="392"/>
      <c r="H447" s="284"/>
      <c r="I447" s="392"/>
      <c r="J447" s="145"/>
      <c r="K447" s="145"/>
      <c r="L447" s="393"/>
      <c r="M447" s="145"/>
      <c r="N447" s="145"/>
    </row>
    <row r="448" spans="1:14" s="7" customFormat="1" ht="76.5" x14ac:dyDescent="0.25">
      <c r="A448" s="145" t="s">
        <v>1022</v>
      </c>
      <c r="B448" s="145"/>
      <c r="C448" s="394" t="s">
        <v>1023</v>
      </c>
      <c r="D448" s="145" t="s">
        <v>1024</v>
      </c>
      <c r="E448" s="49" t="s">
        <v>1025</v>
      </c>
      <c r="F448" s="398" t="s">
        <v>995</v>
      </c>
      <c r="G448" s="399" t="s">
        <v>388</v>
      </c>
      <c r="H448" s="400" t="s">
        <v>199</v>
      </c>
      <c r="I448" s="401">
        <v>150000</v>
      </c>
      <c r="J448" s="49" t="s">
        <v>875</v>
      </c>
      <c r="K448" s="49" t="s">
        <v>997</v>
      </c>
      <c r="L448" s="153" t="s">
        <v>1026</v>
      </c>
      <c r="M448" s="105"/>
      <c r="N448" s="153" t="s">
        <v>1027</v>
      </c>
    </row>
    <row r="449" spans="1:14" s="7" customFormat="1" ht="38.25" x14ac:dyDescent="0.25">
      <c r="A449" s="145" t="s">
        <v>1028</v>
      </c>
      <c r="B449" s="145"/>
      <c r="C449" s="394"/>
      <c r="D449" s="145" t="s">
        <v>1029</v>
      </c>
      <c r="E449" s="49"/>
      <c r="F449" s="402"/>
      <c r="G449" s="403"/>
      <c r="H449" s="400"/>
      <c r="I449" s="401"/>
      <c r="J449" s="49"/>
      <c r="K449" s="49"/>
      <c r="L449" s="168"/>
      <c r="M449" s="141"/>
      <c r="N449" s="168"/>
    </row>
    <row r="450" spans="1:14" s="7" customFormat="1" ht="15.75" x14ac:dyDescent="0.25">
      <c r="A450" s="404" t="s">
        <v>969</v>
      </c>
      <c r="B450" s="405"/>
      <c r="C450" s="405"/>
      <c r="D450" s="405"/>
      <c r="E450" s="405"/>
      <c r="F450" s="405"/>
      <c r="G450" s="405"/>
      <c r="H450" s="405"/>
      <c r="I450" s="405"/>
      <c r="J450" s="405"/>
      <c r="K450" s="405"/>
      <c r="L450" s="405"/>
      <c r="M450" s="405"/>
      <c r="N450" s="406"/>
    </row>
    <row r="451" spans="1:14" s="7" customFormat="1" ht="38.25" x14ac:dyDescent="0.25">
      <c r="A451" s="123" t="s">
        <v>1030</v>
      </c>
      <c r="B451" s="278" t="s">
        <v>777</v>
      </c>
      <c r="C451" s="11"/>
      <c r="D451" s="15"/>
      <c r="E451" s="11"/>
      <c r="F451" s="407"/>
      <c r="G451" s="408"/>
      <c r="H451" s="238"/>
      <c r="I451" s="408"/>
      <c r="J451" s="123"/>
      <c r="K451" s="123"/>
      <c r="L451" s="273"/>
      <c r="M451" s="123"/>
      <c r="N451" s="123"/>
    </row>
    <row r="452" spans="1:14" s="7" customFormat="1" ht="63.75" x14ac:dyDescent="0.25">
      <c r="A452" s="123" t="s">
        <v>991</v>
      </c>
      <c r="B452" s="123"/>
      <c r="C452" s="106" t="s">
        <v>992</v>
      </c>
      <c r="D452" s="123" t="s">
        <v>1031</v>
      </c>
      <c r="E452" s="15"/>
      <c r="F452" s="407"/>
      <c r="G452" s="408"/>
      <c r="H452" s="15" t="s">
        <v>199</v>
      </c>
      <c r="I452" s="409" t="s">
        <v>1032</v>
      </c>
      <c r="J452" s="15" t="s">
        <v>1033</v>
      </c>
      <c r="K452" s="15" t="s">
        <v>1034</v>
      </c>
      <c r="L452" s="356"/>
      <c r="M452" s="123"/>
      <c r="N452" s="123"/>
    </row>
    <row r="453" spans="1:14" s="7" customFormat="1" ht="51" x14ac:dyDescent="0.25">
      <c r="A453" s="123" t="s">
        <v>999</v>
      </c>
      <c r="B453" s="123"/>
      <c r="C453" s="106"/>
      <c r="D453" s="123" t="s">
        <v>1000</v>
      </c>
      <c r="E453" s="144"/>
      <c r="F453" s="407"/>
      <c r="G453" s="408"/>
      <c r="H453" s="15" t="s">
        <v>199</v>
      </c>
      <c r="I453" s="410"/>
      <c r="J453" s="15" t="s">
        <v>1033</v>
      </c>
      <c r="K453" s="15" t="s">
        <v>1034</v>
      </c>
      <c r="L453" s="356"/>
      <c r="M453" s="123"/>
      <c r="N453" s="123"/>
    </row>
    <row r="454" spans="1:14" s="7" customFormat="1" ht="38.25" x14ac:dyDescent="0.25">
      <c r="A454" s="193" t="s">
        <v>1002</v>
      </c>
      <c r="B454" s="278" t="s">
        <v>777</v>
      </c>
      <c r="C454" s="11"/>
      <c r="D454" s="15"/>
      <c r="E454" s="11"/>
      <c r="F454" s="407"/>
      <c r="G454" s="408"/>
      <c r="H454" s="238"/>
      <c r="I454" s="408"/>
      <c r="J454" s="123"/>
      <c r="K454" s="123"/>
      <c r="L454" s="273"/>
      <c r="M454" s="123"/>
      <c r="N454" s="123"/>
    </row>
    <row r="455" spans="1:14" s="7" customFormat="1" ht="63.75" x14ac:dyDescent="0.25">
      <c r="A455" s="131" t="s">
        <v>1035</v>
      </c>
      <c r="B455" s="131"/>
      <c r="C455" s="310" t="s">
        <v>1004</v>
      </c>
      <c r="D455" s="131" t="s">
        <v>1036</v>
      </c>
      <c r="E455" s="411"/>
      <c r="F455" s="412"/>
      <c r="G455" s="413"/>
      <c r="H455" s="414" t="s">
        <v>199</v>
      </c>
      <c r="I455" s="415" t="s">
        <v>1037</v>
      </c>
      <c r="J455" s="411" t="s">
        <v>1033</v>
      </c>
      <c r="K455" s="411" t="s">
        <v>1034</v>
      </c>
      <c r="L455" s="416"/>
      <c r="M455" s="131"/>
      <c r="N455" s="131"/>
    </row>
    <row r="456" spans="1:14" s="7" customFormat="1" ht="38.25" x14ac:dyDescent="0.25">
      <c r="A456" s="123" t="s">
        <v>1008</v>
      </c>
      <c r="B456" s="278" t="s">
        <v>777</v>
      </c>
      <c r="C456" s="11"/>
      <c r="D456" s="15"/>
      <c r="E456" s="11"/>
      <c r="F456" s="407"/>
      <c r="G456" s="408"/>
      <c r="H456" s="238"/>
      <c r="I456" s="408"/>
      <c r="J456" s="123"/>
      <c r="K456" s="123"/>
      <c r="L456" s="273"/>
      <c r="M456" s="123"/>
      <c r="N456" s="123"/>
    </row>
    <row r="457" spans="1:14" s="7" customFormat="1" ht="63.75" x14ac:dyDescent="0.25">
      <c r="A457" s="146" t="s">
        <v>1038</v>
      </c>
      <c r="B457" s="146"/>
      <c r="C457" s="296" t="s">
        <v>1039</v>
      </c>
      <c r="D457" s="146" t="s">
        <v>1040</v>
      </c>
      <c r="E457" s="320"/>
      <c r="F457" s="417"/>
      <c r="G457" s="418"/>
      <c r="H457" s="419" t="s">
        <v>199</v>
      </c>
      <c r="I457" s="409">
        <v>400000</v>
      </c>
      <c r="J457" s="295" t="s">
        <v>1033</v>
      </c>
      <c r="K457" s="295" t="s">
        <v>1034</v>
      </c>
      <c r="L457" s="420"/>
      <c r="M457" s="146"/>
      <c r="N457" s="146"/>
    </row>
    <row r="458" spans="1:14" s="7" customFormat="1" ht="51" x14ac:dyDescent="0.25">
      <c r="A458" s="123" t="s">
        <v>1041</v>
      </c>
      <c r="B458" s="123"/>
      <c r="C458" s="299"/>
      <c r="D458" s="123" t="s">
        <v>1042</v>
      </c>
      <c r="E458" s="15"/>
      <c r="F458" s="407"/>
      <c r="G458" s="408"/>
      <c r="H458" s="421"/>
      <c r="I458" s="410"/>
      <c r="J458" s="300"/>
      <c r="K458" s="300"/>
      <c r="L458" s="273"/>
      <c r="M458" s="123"/>
      <c r="N458" s="123"/>
    </row>
    <row r="459" spans="1:14" s="7" customFormat="1" ht="38.25" x14ac:dyDescent="0.25">
      <c r="A459" s="123" t="s">
        <v>1015</v>
      </c>
      <c r="B459" s="278" t="s">
        <v>777</v>
      </c>
      <c r="C459" s="11"/>
      <c r="D459" s="15"/>
      <c r="E459" s="11"/>
      <c r="F459" s="407"/>
      <c r="G459" s="408"/>
      <c r="H459" s="238"/>
      <c r="I459" s="408"/>
      <c r="J459" s="123"/>
      <c r="K459" s="123"/>
      <c r="L459" s="273"/>
      <c r="M459" s="123"/>
      <c r="N459" s="123"/>
    </row>
    <row r="460" spans="1:14" s="7" customFormat="1" ht="38.25" x14ac:dyDescent="0.25">
      <c r="A460" s="123" t="s">
        <v>1016</v>
      </c>
      <c r="B460" s="123"/>
      <c r="C460" s="123" t="s">
        <v>1017</v>
      </c>
      <c r="D460" s="123" t="s">
        <v>1018</v>
      </c>
      <c r="E460" s="123"/>
      <c r="F460" s="407"/>
      <c r="G460" s="408"/>
      <c r="H460" s="274" t="s">
        <v>199</v>
      </c>
      <c r="I460" s="422" t="s">
        <v>1043</v>
      </c>
      <c r="J460" s="15" t="s">
        <v>1033</v>
      </c>
      <c r="K460" s="15" t="s">
        <v>1034</v>
      </c>
      <c r="L460" s="273"/>
      <c r="M460" s="123"/>
      <c r="N460" s="123"/>
    </row>
    <row r="461" spans="1:14" s="7" customFormat="1" ht="38.25" x14ac:dyDescent="0.25">
      <c r="A461" s="123" t="s">
        <v>1021</v>
      </c>
      <c r="B461" s="278" t="s">
        <v>777</v>
      </c>
      <c r="C461" s="11"/>
      <c r="D461" s="15"/>
      <c r="E461" s="11"/>
      <c r="F461" s="407"/>
      <c r="G461" s="408"/>
      <c r="H461" s="238"/>
      <c r="I461" s="408"/>
      <c r="J461" s="123"/>
      <c r="K461" s="123"/>
      <c r="L461" s="273"/>
      <c r="M461" s="123"/>
      <c r="N461" s="123"/>
    </row>
    <row r="462" spans="1:14" s="7" customFormat="1" ht="76.5" x14ac:dyDescent="0.25">
      <c r="A462" s="123" t="s">
        <v>1022</v>
      </c>
      <c r="B462" s="123"/>
      <c r="C462" s="106" t="s">
        <v>1023</v>
      </c>
      <c r="D462" s="123" t="s">
        <v>1044</v>
      </c>
      <c r="E462" s="313"/>
      <c r="F462" s="407"/>
      <c r="G462" s="408"/>
      <c r="H462" s="315" t="s">
        <v>199</v>
      </c>
      <c r="I462" s="423">
        <v>250000</v>
      </c>
      <c r="J462" s="313" t="s">
        <v>1033</v>
      </c>
      <c r="K462" s="313" t="s">
        <v>1034</v>
      </c>
      <c r="L462" s="273"/>
      <c r="M462" s="123"/>
      <c r="N462" s="123"/>
    </row>
    <row r="463" spans="1:14" s="7" customFormat="1" ht="38.25" x14ac:dyDescent="0.25">
      <c r="A463" s="123" t="s">
        <v>1028</v>
      </c>
      <c r="B463" s="123"/>
      <c r="C463" s="106"/>
      <c r="D463" s="123" t="s">
        <v>1029</v>
      </c>
      <c r="E463" s="313"/>
      <c r="F463" s="407"/>
      <c r="G463" s="408"/>
      <c r="H463" s="315"/>
      <c r="I463" s="423"/>
      <c r="J463" s="313"/>
      <c r="K463" s="313"/>
      <c r="L463" s="273"/>
      <c r="M463" s="123"/>
      <c r="N463" s="123"/>
    </row>
    <row r="464" spans="1:14" s="7" customFormat="1" ht="15.75" x14ac:dyDescent="0.25">
      <c r="A464" s="424" t="s">
        <v>1045</v>
      </c>
      <c r="B464" s="425"/>
      <c r="C464" s="425"/>
      <c r="D464" s="425"/>
      <c r="E464" s="425"/>
      <c r="F464" s="425"/>
      <c r="G464" s="425"/>
      <c r="H464" s="425"/>
      <c r="I464" s="425"/>
      <c r="J464" s="425"/>
      <c r="K464" s="425"/>
      <c r="L464" s="425"/>
      <c r="M464" s="425"/>
      <c r="N464" s="426"/>
    </row>
    <row r="465" spans="1:14" s="7" customFormat="1" ht="15.75" x14ac:dyDescent="0.25">
      <c r="A465" s="404" t="s">
        <v>913</v>
      </c>
      <c r="B465" s="405"/>
      <c r="C465" s="405"/>
      <c r="D465" s="405"/>
      <c r="E465" s="405"/>
      <c r="F465" s="405"/>
      <c r="G465" s="405"/>
      <c r="H465" s="405"/>
      <c r="I465" s="405"/>
      <c r="J465" s="405"/>
      <c r="K465" s="405"/>
      <c r="L465" s="405"/>
      <c r="M465" s="405"/>
      <c r="N465" s="406"/>
    </row>
    <row r="466" spans="1:14" s="7" customFormat="1" ht="38.25" x14ac:dyDescent="0.25">
      <c r="A466" s="278" t="s">
        <v>1046</v>
      </c>
      <c r="B466" s="278" t="s">
        <v>777</v>
      </c>
      <c r="C466" s="278"/>
      <c r="D466" s="280"/>
      <c r="E466" s="278"/>
      <c r="F466" s="391"/>
      <c r="G466" s="392"/>
      <c r="H466" s="284"/>
      <c r="I466" s="392"/>
      <c r="J466" s="145"/>
      <c r="K466" s="145"/>
      <c r="L466" s="393"/>
      <c r="M466" s="145"/>
      <c r="N466" s="145"/>
    </row>
    <row r="467" spans="1:14" s="7" customFormat="1" ht="255" x14ac:dyDescent="0.25">
      <c r="A467" s="278" t="s">
        <v>1047</v>
      </c>
      <c r="B467" s="145"/>
      <c r="C467" s="145" t="s">
        <v>1048</v>
      </c>
      <c r="D467" s="145" t="s">
        <v>1049</v>
      </c>
      <c r="E467" s="145" t="s">
        <v>1050</v>
      </c>
      <c r="F467" s="391" t="s">
        <v>1051</v>
      </c>
      <c r="G467" s="392" t="s">
        <v>388</v>
      </c>
      <c r="H467" s="284" t="s">
        <v>199</v>
      </c>
      <c r="I467" s="427">
        <v>450000</v>
      </c>
      <c r="J467" s="280" t="s">
        <v>875</v>
      </c>
      <c r="K467" s="280" t="s">
        <v>997</v>
      </c>
      <c r="L467" s="123" t="s">
        <v>1052</v>
      </c>
      <c r="M467" s="145"/>
      <c r="N467" s="11" t="s">
        <v>1053</v>
      </c>
    </row>
    <row r="468" spans="1:14" s="7" customFormat="1" ht="38.25" x14ac:dyDescent="0.25">
      <c r="A468" s="278" t="s">
        <v>1054</v>
      </c>
      <c r="B468" s="278" t="s">
        <v>777</v>
      </c>
      <c r="C468" s="278"/>
      <c r="D468" s="280"/>
      <c r="E468" s="145"/>
      <c r="F468" s="391"/>
      <c r="G468" s="392"/>
      <c r="H468" s="284"/>
      <c r="I468" s="392"/>
      <c r="J468" s="145"/>
      <c r="K468" s="145"/>
      <c r="L468" s="428"/>
      <c r="M468" s="145"/>
      <c r="N468" s="145"/>
    </row>
    <row r="469" spans="1:14" s="7" customFormat="1" ht="280.5" x14ac:dyDescent="0.25">
      <c r="A469" s="278" t="s">
        <v>1055</v>
      </c>
      <c r="B469" s="145"/>
      <c r="C469" s="145" t="s">
        <v>1056</v>
      </c>
      <c r="D469" s="145" t="s">
        <v>1057</v>
      </c>
      <c r="E469" s="145" t="s">
        <v>1058</v>
      </c>
      <c r="F469" s="391" t="s">
        <v>1051</v>
      </c>
      <c r="G469" s="392" t="s">
        <v>388</v>
      </c>
      <c r="H469" s="284" t="s">
        <v>199</v>
      </c>
      <c r="I469" s="427">
        <v>450000</v>
      </c>
      <c r="J469" s="280" t="s">
        <v>875</v>
      </c>
      <c r="K469" s="280" t="s">
        <v>997</v>
      </c>
      <c r="L469" s="123" t="s">
        <v>1059</v>
      </c>
      <c r="M469" s="145"/>
      <c r="N469" s="11" t="s">
        <v>1060</v>
      </c>
    </row>
    <row r="470" spans="1:14" s="7" customFormat="1" ht="15.75" x14ac:dyDescent="0.25">
      <c r="A470" s="424" t="s">
        <v>1061</v>
      </c>
      <c r="B470" s="425"/>
      <c r="C470" s="425"/>
      <c r="D470" s="425"/>
      <c r="E470" s="425"/>
      <c r="F470" s="425"/>
      <c r="G470" s="425"/>
      <c r="H470" s="425"/>
      <c r="I470" s="425"/>
      <c r="J470" s="425"/>
      <c r="K470" s="425"/>
      <c r="L470" s="425"/>
      <c r="M470" s="425"/>
      <c r="N470" s="426"/>
    </row>
    <row r="471" spans="1:14" s="7" customFormat="1" ht="15.75" x14ac:dyDescent="0.25">
      <c r="A471" s="429" t="s">
        <v>1062</v>
      </c>
      <c r="B471" s="430"/>
      <c r="C471" s="430"/>
      <c r="D471" s="430"/>
      <c r="E471" s="430"/>
      <c r="F471" s="430"/>
      <c r="G471" s="430"/>
      <c r="H471" s="430"/>
      <c r="I471" s="430"/>
      <c r="J471" s="430"/>
      <c r="K471" s="430"/>
      <c r="L471" s="430"/>
      <c r="M471" s="430"/>
      <c r="N471" s="431"/>
    </row>
    <row r="472" spans="1:14" s="7" customFormat="1" ht="38.25" x14ac:dyDescent="0.25">
      <c r="A472" s="432" t="s">
        <v>1063</v>
      </c>
      <c r="B472" s="11" t="s">
        <v>777</v>
      </c>
      <c r="C472" s="433"/>
      <c r="D472" s="434"/>
      <c r="E472" s="435"/>
      <c r="F472" s="11"/>
      <c r="G472" s="11"/>
      <c r="H472" s="11"/>
      <c r="I472" s="436"/>
      <c r="J472" s="437"/>
      <c r="K472" s="437"/>
      <c r="L472" s="438"/>
      <c r="M472" s="439"/>
      <c r="N472" s="440"/>
    </row>
    <row r="473" spans="1:14" s="7" customFormat="1" ht="306" x14ac:dyDescent="0.25">
      <c r="A473" s="441" t="s">
        <v>1064</v>
      </c>
      <c r="B473" s="11"/>
      <c r="C473" s="435" t="s">
        <v>1065</v>
      </c>
      <c r="D473" s="434" t="s">
        <v>1066</v>
      </c>
      <c r="E473" s="435" t="s">
        <v>1067</v>
      </c>
      <c r="F473" s="438" t="s">
        <v>1068</v>
      </c>
      <c r="G473" s="11" t="s">
        <v>1069</v>
      </c>
      <c r="H473" s="11" t="s">
        <v>1070</v>
      </c>
      <c r="I473" s="442">
        <v>1556000</v>
      </c>
      <c r="J473" s="437" t="s">
        <v>1071</v>
      </c>
      <c r="K473" s="437" t="s">
        <v>1072</v>
      </c>
      <c r="L473" s="438" t="s">
        <v>1073</v>
      </c>
      <c r="M473" s="439">
        <v>902610</v>
      </c>
      <c r="N473" s="443" t="s">
        <v>1074</v>
      </c>
    </row>
    <row r="474" spans="1:14" s="7" customFormat="1" ht="15.75" x14ac:dyDescent="0.25">
      <c r="A474" s="429" t="s">
        <v>913</v>
      </c>
      <c r="B474" s="430"/>
      <c r="C474" s="430"/>
      <c r="D474" s="430"/>
      <c r="E474" s="430"/>
      <c r="F474" s="430"/>
      <c r="G474" s="430"/>
      <c r="H474" s="430"/>
      <c r="I474" s="430"/>
      <c r="J474" s="430"/>
      <c r="K474" s="430"/>
      <c r="L474" s="430"/>
      <c r="M474" s="430"/>
      <c r="N474" s="431"/>
    </row>
    <row r="475" spans="1:14" s="7" customFormat="1" ht="25.5" x14ac:dyDescent="0.25">
      <c r="A475" s="444" t="s">
        <v>1075</v>
      </c>
      <c r="B475" s="445" t="s">
        <v>777</v>
      </c>
      <c r="C475" s="445" t="s">
        <v>1076</v>
      </c>
      <c r="D475" s="445" t="s">
        <v>1077</v>
      </c>
      <c r="E475" s="446" t="s">
        <v>1078</v>
      </c>
      <c r="F475" s="295" t="s">
        <v>1079</v>
      </c>
      <c r="G475" s="295" t="s">
        <v>1069</v>
      </c>
      <c r="H475" s="445" t="s">
        <v>874</v>
      </c>
      <c r="I475" s="447">
        <f>2000000+422000+500000</f>
        <v>2922000</v>
      </c>
      <c r="J475" s="448" t="s">
        <v>1080</v>
      </c>
      <c r="K475" s="448" t="s">
        <v>1081</v>
      </c>
      <c r="L475" s="295" t="s">
        <v>1082</v>
      </c>
      <c r="M475" s="409">
        <v>214058</v>
      </c>
      <c r="N475" s="449" t="s">
        <v>1083</v>
      </c>
    </row>
    <row r="476" spans="1:14" s="7" customFormat="1" ht="40.5" customHeight="1" x14ac:dyDescent="0.25">
      <c r="A476" s="450" t="s">
        <v>1084</v>
      </c>
      <c r="B476" s="451"/>
      <c r="C476" s="451"/>
      <c r="D476" s="451"/>
      <c r="E476" s="452"/>
      <c r="F476" s="300"/>
      <c r="G476" s="297"/>
      <c r="H476" s="453"/>
      <c r="I476" s="447"/>
      <c r="J476" s="454"/>
      <c r="K476" s="454"/>
      <c r="L476" s="300"/>
      <c r="M476" s="410"/>
      <c r="N476" s="455"/>
    </row>
    <row r="477" spans="1:14" s="7" customFormat="1" ht="63.75" x14ac:dyDescent="0.25">
      <c r="A477" s="450" t="s">
        <v>1085</v>
      </c>
      <c r="B477" s="11" t="s">
        <v>777</v>
      </c>
      <c r="C477" s="11"/>
      <c r="D477" s="434"/>
      <c r="E477" s="433"/>
      <c r="F477" s="11"/>
      <c r="G477" s="310"/>
      <c r="H477" s="310"/>
      <c r="I477" s="436"/>
      <c r="J477" s="456"/>
      <c r="K477" s="456"/>
      <c r="L477" s="11"/>
      <c r="M477" s="11"/>
      <c r="N477" s="443"/>
    </row>
    <row r="478" spans="1:14" s="7" customFormat="1" ht="219" customHeight="1" x14ac:dyDescent="0.25">
      <c r="A478" s="450" t="s">
        <v>1086</v>
      </c>
      <c r="B478" s="11"/>
      <c r="C478" s="11" t="s">
        <v>1087</v>
      </c>
      <c r="D478" s="457" t="s">
        <v>1088</v>
      </c>
      <c r="E478" s="435" t="s">
        <v>1078</v>
      </c>
      <c r="F478" s="457" t="s">
        <v>1089</v>
      </c>
      <c r="G478" s="310" t="s">
        <v>1069</v>
      </c>
      <c r="H478" s="310" t="s">
        <v>874</v>
      </c>
      <c r="I478" s="442">
        <v>1047000</v>
      </c>
      <c r="J478" s="456" t="s">
        <v>1080</v>
      </c>
      <c r="K478" s="456" t="s">
        <v>1081</v>
      </c>
      <c r="L478" s="457" t="s">
        <v>1090</v>
      </c>
      <c r="M478" s="458"/>
      <c r="N478" s="459" t="s">
        <v>1091</v>
      </c>
    </row>
    <row r="479" spans="1:14" s="7" customFormat="1" ht="255" x14ac:dyDescent="0.25">
      <c r="A479" s="450" t="s">
        <v>1092</v>
      </c>
      <c r="B479" s="11" t="s">
        <v>777</v>
      </c>
      <c r="C479" s="435" t="s">
        <v>1076</v>
      </c>
      <c r="D479" s="434" t="s">
        <v>1093</v>
      </c>
      <c r="E479" s="435" t="s">
        <v>1067</v>
      </c>
      <c r="F479" s="11"/>
      <c r="G479" s="123" t="s">
        <v>1069</v>
      </c>
      <c r="H479" s="123" t="s">
        <v>874</v>
      </c>
      <c r="I479" s="442">
        <v>129000</v>
      </c>
      <c r="J479" s="437" t="s">
        <v>1080</v>
      </c>
      <c r="K479" s="437" t="s">
        <v>1081</v>
      </c>
      <c r="L479" s="11"/>
      <c r="M479" s="11"/>
      <c r="N479" s="443" t="s">
        <v>1094</v>
      </c>
    </row>
    <row r="480" spans="1:14" s="7" customFormat="1" ht="38.25" x14ac:dyDescent="0.25">
      <c r="A480" s="450" t="s">
        <v>1095</v>
      </c>
      <c r="B480" s="11" t="s">
        <v>777</v>
      </c>
      <c r="C480" s="460"/>
      <c r="D480" s="460"/>
      <c r="E480" s="433"/>
      <c r="F480" s="460"/>
      <c r="G480" s="310"/>
      <c r="H480" s="310"/>
      <c r="I480" s="461"/>
      <c r="J480" s="462"/>
      <c r="K480" s="462"/>
      <c r="L480" s="460"/>
      <c r="M480" s="463"/>
      <c r="N480" s="464"/>
    </row>
    <row r="481" spans="1:14" s="7" customFormat="1" ht="165.75" x14ac:dyDescent="0.25">
      <c r="A481" s="450" t="s">
        <v>1096</v>
      </c>
      <c r="B481" s="11"/>
      <c r="C481" s="460" t="s">
        <v>1097</v>
      </c>
      <c r="D481" s="460" t="s">
        <v>1098</v>
      </c>
      <c r="E481" s="433" t="s">
        <v>1099</v>
      </c>
      <c r="F481" s="460" t="s">
        <v>1100</v>
      </c>
      <c r="G481" s="310" t="s">
        <v>1069</v>
      </c>
      <c r="H481" s="310" t="s">
        <v>874</v>
      </c>
      <c r="I481" s="465">
        <v>28000</v>
      </c>
      <c r="J481" s="462" t="s">
        <v>1080</v>
      </c>
      <c r="K481" s="462" t="s">
        <v>1081</v>
      </c>
      <c r="L481" s="460" t="s">
        <v>1101</v>
      </c>
      <c r="M481" s="463"/>
      <c r="N481" s="464" t="s">
        <v>1102</v>
      </c>
    </row>
    <row r="482" spans="1:14" s="7" customFormat="1" ht="15.75" x14ac:dyDescent="0.25">
      <c r="A482" s="466" t="s">
        <v>969</v>
      </c>
      <c r="B482" s="467"/>
      <c r="C482" s="467"/>
      <c r="D482" s="467"/>
      <c r="E482" s="467"/>
      <c r="F482" s="467"/>
      <c r="G482" s="467"/>
      <c r="H482" s="467"/>
      <c r="I482" s="467"/>
      <c r="J482" s="467"/>
      <c r="K482" s="467"/>
      <c r="L482" s="467"/>
      <c r="M482" s="467"/>
      <c r="N482" s="468"/>
    </row>
    <row r="483" spans="1:14" s="7" customFormat="1" ht="38.25" x14ac:dyDescent="0.25">
      <c r="A483" s="444" t="s">
        <v>1103</v>
      </c>
      <c r="B483" s="11" t="s">
        <v>777</v>
      </c>
      <c r="C483" s="11"/>
      <c r="D483" s="11"/>
      <c r="E483" s="435"/>
      <c r="F483" s="11"/>
      <c r="G483" s="11"/>
      <c r="H483" s="11"/>
      <c r="I483" s="469"/>
      <c r="J483" s="456"/>
      <c r="K483" s="456"/>
      <c r="L483" s="11"/>
      <c r="M483" s="11"/>
      <c r="N483" s="440"/>
    </row>
    <row r="484" spans="1:14" s="7" customFormat="1" ht="51" x14ac:dyDescent="0.25">
      <c r="A484" s="450" t="s">
        <v>1104</v>
      </c>
      <c r="B484" s="11"/>
      <c r="C484" s="11" t="s">
        <v>1105</v>
      </c>
      <c r="D484" s="11" t="s">
        <v>1106</v>
      </c>
      <c r="E484" s="435"/>
      <c r="F484" s="11"/>
      <c r="G484" s="11"/>
      <c r="H484" s="11" t="s">
        <v>1107</v>
      </c>
      <c r="I484" s="470">
        <v>100000</v>
      </c>
      <c r="J484" s="456" t="s">
        <v>656</v>
      </c>
      <c r="K484" s="456" t="s">
        <v>657</v>
      </c>
      <c r="L484" s="11"/>
      <c r="M484" s="11"/>
      <c r="N484" s="440"/>
    </row>
    <row r="485" spans="1:14" s="7" customFormat="1" ht="38.25" x14ac:dyDescent="0.25">
      <c r="A485" s="450" t="s">
        <v>1108</v>
      </c>
      <c r="B485" s="11" t="s">
        <v>777</v>
      </c>
      <c r="C485" s="11"/>
      <c r="D485" s="11"/>
      <c r="E485" s="435"/>
      <c r="F485" s="11"/>
      <c r="G485" s="11"/>
      <c r="H485" s="11"/>
      <c r="I485" s="469"/>
      <c r="J485" s="456"/>
      <c r="K485" s="456"/>
      <c r="L485" s="11"/>
      <c r="M485" s="11"/>
      <c r="N485" s="443"/>
    </row>
    <row r="486" spans="1:14" s="7" customFormat="1" ht="51" x14ac:dyDescent="0.25">
      <c r="A486" s="450" t="s">
        <v>1109</v>
      </c>
      <c r="B486" s="11"/>
      <c r="C486" s="11" t="s">
        <v>1076</v>
      </c>
      <c r="D486" s="11" t="s">
        <v>1110</v>
      </c>
      <c r="E486" s="435"/>
      <c r="F486" s="11"/>
      <c r="G486" s="11"/>
      <c r="H486" s="11" t="s">
        <v>1107</v>
      </c>
      <c r="I486" s="470">
        <v>800000</v>
      </c>
      <c r="J486" s="456" t="s">
        <v>656</v>
      </c>
      <c r="K486" s="456" t="s">
        <v>657</v>
      </c>
      <c r="L486" s="11"/>
      <c r="M486" s="11"/>
      <c r="N486" s="443"/>
    </row>
    <row r="487" spans="1:14" s="7" customFormat="1" ht="63.75" x14ac:dyDescent="0.25">
      <c r="A487" s="450" t="s">
        <v>1111</v>
      </c>
      <c r="B487" s="11" t="s">
        <v>777</v>
      </c>
      <c r="C487" s="11" t="s">
        <v>1112</v>
      </c>
      <c r="D487" s="460"/>
      <c r="E487" s="433"/>
      <c r="F487" s="11"/>
      <c r="G487" s="310"/>
      <c r="H487" s="310"/>
      <c r="I487" s="461"/>
      <c r="J487" s="462"/>
      <c r="K487" s="462"/>
      <c r="L487" s="310"/>
      <c r="M487" s="310"/>
      <c r="N487" s="471"/>
    </row>
    <row r="488" spans="1:14" s="7" customFormat="1" ht="38.25" x14ac:dyDescent="0.25">
      <c r="A488" s="450" t="s">
        <v>1113</v>
      </c>
      <c r="B488" s="11"/>
      <c r="C488" s="11"/>
      <c r="D488" s="460" t="s">
        <v>1114</v>
      </c>
      <c r="E488" s="433"/>
      <c r="F488" s="11"/>
      <c r="G488" s="310"/>
      <c r="H488" s="310" t="s">
        <v>1107</v>
      </c>
      <c r="I488" s="465">
        <v>500000</v>
      </c>
      <c r="J488" s="456" t="s">
        <v>656</v>
      </c>
      <c r="K488" s="456" t="s">
        <v>657</v>
      </c>
      <c r="L488" s="310"/>
      <c r="M488" s="310"/>
      <c r="N488" s="471"/>
    </row>
    <row r="489" spans="1:14" s="7" customFormat="1" ht="38.25" x14ac:dyDescent="0.25">
      <c r="A489" s="450" t="s">
        <v>1115</v>
      </c>
      <c r="B489" s="310" t="s">
        <v>777</v>
      </c>
      <c r="C489" s="460" t="s">
        <v>1097</v>
      </c>
      <c r="D489" s="460"/>
      <c r="E489" s="433"/>
      <c r="F489" s="463"/>
      <c r="G489" s="310"/>
      <c r="H489" s="310"/>
      <c r="I489" s="461"/>
      <c r="J489" s="462"/>
      <c r="K489" s="462"/>
      <c r="L489" s="460"/>
      <c r="M489" s="463"/>
      <c r="N489" s="472"/>
    </row>
    <row r="490" spans="1:14" s="7" customFormat="1" ht="76.5" x14ac:dyDescent="0.25">
      <c r="A490" s="450" t="s">
        <v>1116</v>
      </c>
      <c r="B490" s="11"/>
      <c r="C490" s="460"/>
      <c r="D490" s="460" t="s">
        <v>1117</v>
      </c>
      <c r="E490" s="433"/>
      <c r="F490" s="463" t="s">
        <v>1118</v>
      </c>
      <c r="G490" s="310"/>
      <c r="H490" s="310" t="s">
        <v>1107</v>
      </c>
      <c r="I490" s="465">
        <v>256000</v>
      </c>
      <c r="J490" s="456" t="s">
        <v>656</v>
      </c>
      <c r="K490" s="456" t="s">
        <v>657</v>
      </c>
      <c r="L490" s="460"/>
      <c r="M490" s="463"/>
      <c r="N490" s="472"/>
    </row>
    <row r="491" spans="1:14" s="7" customFormat="1" ht="15.75" x14ac:dyDescent="0.25">
      <c r="A491" s="473" t="s">
        <v>1119</v>
      </c>
      <c r="B491" s="425"/>
      <c r="C491" s="425"/>
      <c r="D491" s="425"/>
      <c r="E491" s="425"/>
      <c r="F491" s="425"/>
      <c r="G491" s="425"/>
      <c r="H491" s="425"/>
      <c r="I491" s="425"/>
      <c r="J491" s="425"/>
      <c r="K491" s="425"/>
      <c r="L491" s="425"/>
      <c r="M491" s="425"/>
      <c r="N491" s="474"/>
    </row>
    <row r="492" spans="1:14" s="7" customFormat="1" ht="15.75" x14ac:dyDescent="0.25">
      <c r="A492" s="466" t="s">
        <v>913</v>
      </c>
      <c r="B492" s="467"/>
      <c r="C492" s="467"/>
      <c r="D492" s="467"/>
      <c r="E492" s="467"/>
      <c r="F492" s="467"/>
      <c r="G492" s="467"/>
      <c r="H492" s="467"/>
      <c r="I492" s="467"/>
      <c r="J492" s="467"/>
      <c r="K492" s="467"/>
      <c r="L492" s="467"/>
      <c r="M492" s="467"/>
      <c r="N492" s="468"/>
    </row>
    <row r="493" spans="1:14" s="7" customFormat="1" ht="301.5" customHeight="1" x14ac:dyDescent="0.25">
      <c r="A493" s="355" t="s">
        <v>1120</v>
      </c>
      <c r="B493" s="11" t="s">
        <v>777</v>
      </c>
      <c r="C493" s="355" t="s">
        <v>1121</v>
      </c>
      <c r="D493" s="356" t="s">
        <v>1122</v>
      </c>
      <c r="E493" s="355" t="s">
        <v>1123</v>
      </c>
      <c r="F493" s="355" t="s">
        <v>1124</v>
      </c>
      <c r="G493" s="357" t="s">
        <v>1125</v>
      </c>
      <c r="H493" s="357" t="s">
        <v>1126</v>
      </c>
      <c r="I493" s="359">
        <v>2145000</v>
      </c>
      <c r="J493" s="360" t="s">
        <v>921</v>
      </c>
      <c r="K493" s="360" t="s">
        <v>922</v>
      </c>
      <c r="L493" s="475" t="s">
        <v>1127</v>
      </c>
      <c r="M493" s="359">
        <v>180000</v>
      </c>
      <c r="N493" s="355" t="s">
        <v>1128</v>
      </c>
    </row>
    <row r="494" spans="1:14" s="7" customFormat="1" ht="409.5" x14ac:dyDescent="0.25">
      <c r="A494" s="355" t="s">
        <v>1129</v>
      </c>
      <c r="B494" s="11" t="s">
        <v>777</v>
      </c>
      <c r="C494" s="355" t="s">
        <v>1130</v>
      </c>
      <c r="D494" s="356" t="s">
        <v>1131</v>
      </c>
      <c r="E494" s="355" t="s">
        <v>1132</v>
      </c>
      <c r="F494" s="355" t="s">
        <v>1133</v>
      </c>
      <c r="G494" s="357" t="s">
        <v>1125</v>
      </c>
      <c r="H494" s="357" t="s">
        <v>1126</v>
      </c>
      <c r="I494" s="359">
        <v>1145000</v>
      </c>
      <c r="J494" s="360" t="s">
        <v>921</v>
      </c>
      <c r="K494" s="360" t="s">
        <v>922</v>
      </c>
      <c r="L494" s="356" t="s">
        <v>1134</v>
      </c>
      <c r="M494" s="359">
        <v>590250</v>
      </c>
      <c r="N494" s="355" t="s">
        <v>1135</v>
      </c>
    </row>
    <row r="495" spans="1:14" s="7" customFormat="1" ht="15.75" x14ac:dyDescent="0.25">
      <c r="A495" s="476" t="s">
        <v>969</v>
      </c>
      <c r="B495" s="477"/>
      <c r="C495" s="477"/>
      <c r="D495" s="477"/>
      <c r="E495" s="477"/>
      <c r="F495" s="477"/>
      <c r="G495" s="477"/>
      <c r="H495" s="477"/>
      <c r="I495" s="477"/>
      <c r="J495" s="477"/>
      <c r="K495" s="477"/>
      <c r="L495" s="477"/>
      <c r="M495" s="477"/>
      <c r="N495" s="478"/>
    </row>
    <row r="496" spans="1:14" s="7" customFormat="1" ht="76.5" x14ac:dyDescent="0.25">
      <c r="A496" s="355" t="s">
        <v>1136</v>
      </c>
      <c r="B496" s="11" t="s">
        <v>777</v>
      </c>
      <c r="C496" s="355" t="s">
        <v>1137</v>
      </c>
      <c r="D496" s="356" t="s">
        <v>1138</v>
      </c>
      <c r="E496" s="355"/>
      <c r="F496" s="355"/>
      <c r="G496" s="357"/>
      <c r="H496" s="357" t="s">
        <v>1139</v>
      </c>
      <c r="I496" s="359">
        <v>2500000</v>
      </c>
      <c r="J496" s="479">
        <v>46023</v>
      </c>
      <c r="K496" s="360" t="s">
        <v>657</v>
      </c>
      <c r="L496" s="475"/>
      <c r="M496" s="359"/>
      <c r="N496" s="355"/>
    </row>
    <row r="497" spans="1:14" s="7" customFormat="1" ht="51" x14ac:dyDescent="0.25">
      <c r="A497" s="355" t="s">
        <v>1129</v>
      </c>
      <c r="B497" s="11" t="s">
        <v>777</v>
      </c>
      <c r="C497" s="355" t="s">
        <v>1130</v>
      </c>
      <c r="D497" s="356" t="s">
        <v>1140</v>
      </c>
      <c r="E497" s="355"/>
      <c r="F497" s="355"/>
      <c r="G497" s="357"/>
      <c r="H497" s="357" t="s">
        <v>1139</v>
      </c>
      <c r="I497" s="359">
        <v>1250000</v>
      </c>
      <c r="J497" s="360" t="s">
        <v>656</v>
      </c>
      <c r="K497" s="360" t="s">
        <v>657</v>
      </c>
      <c r="L497" s="356"/>
      <c r="M497" s="359"/>
      <c r="N497" s="355"/>
    </row>
    <row r="498" spans="1:14" s="7" customFormat="1" ht="15.75" x14ac:dyDescent="0.25">
      <c r="A498" s="480" t="s">
        <v>1141</v>
      </c>
      <c r="B498" s="481"/>
      <c r="C498" s="481"/>
      <c r="D498" s="481"/>
      <c r="E498" s="481"/>
      <c r="F498" s="481"/>
      <c r="G498" s="481"/>
      <c r="H498" s="481"/>
      <c r="I498" s="481"/>
      <c r="J498" s="481"/>
      <c r="K498" s="481"/>
      <c r="L498" s="481"/>
      <c r="M498" s="481"/>
      <c r="N498" s="482"/>
    </row>
    <row r="499" spans="1:14" s="7" customFormat="1" ht="15.75" x14ac:dyDescent="0.25">
      <c r="A499" s="466" t="s">
        <v>913</v>
      </c>
      <c r="B499" s="467"/>
      <c r="C499" s="467"/>
      <c r="D499" s="467"/>
      <c r="E499" s="467"/>
      <c r="F499" s="467"/>
      <c r="G499" s="467"/>
      <c r="H499" s="467"/>
      <c r="I499" s="467"/>
      <c r="J499" s="467"/>
      <c r="K499" s="467"/>
      <c r="L499" s="467"/>
      <c r="M499" s="467"/>
      <c r="N499" s="468"/>
    </row>
    <row r="500" spans="1:14" s="7" customFormat="1" ht="38.25" x14ac:dyDescent="0.25">
      <c r="A500" s="342" t="s">
        <v>1142</v>
      </c>
      <c r="B500" s="342" t="s">
        <v>777</v>
      </c>
      <c r="C500" s="483"/>
      <c r="D500" s="484"/>
      <c r="E500" s="484"/>
      <c r="F500" s="484"/>
      <c r="G500" s="484"/>
      <c r="H500" s="484"/>
      <c r="I500" s="484"/>
      <c r="J500" s="484"/>
      <c r="K500" s="484"/>
      <c r="L500" s="484"/>
      <c r="M500" s="484"/>
      <c r="N500" s="484"/>
    </row>
    <row r="501" spans="1:14" s="7" customFormat="1" ht="409.5" x14ac:dyDescent="0.25">
      <c r="A501" s="145" t="s">
        <v>1143</v>
      </c>
      <c r="B501" s="145"/>
      <c r="C501" s="485" t="s">
        <v>1144</v>
      </c>
      <c r="D501" s="145" t="s">
        <v>1145</v>
      </c>
      <c r="E501" s="145" t="s">
        <v>1146</v>
      </c>
      <c r="F501" s="145" t="s">
        <v>1147</v>
      </c>
      <c r="G501" s="145" t="s">
        <v>1148</v>
      </c>
      <c r="H501" s="145" t="s">
        <v>1149</v>
      </c>
      <c r="I501" s="391">
        <v>200000</v>
      </c>
      <c r="J501" s="145" t="s">
        <v>847</v>
      </c>
      <c r="K501" s="145" t="s">
        <v>848</v>
      </c>
      <c r="L501" s="145" t="s">
        <v>1150</v>
      </c>
      <c r="M501" s="145"/>
      <c r="N501" s="145" t="s">
        <v>1151</v>
      </c>
    </row>
    <row r="502" spans="1:14" s="7" customFormat="1" ht="331.5" x14ac:dyDescent="0.25">
      <c r="A502" s="123" t="s">
        <v>1152</v>
      </c>
      <c r="B502" s="123" t="s">
        <v>777</v>
      </c>
      <c r="C502" s="123" t="s">
        <v>1153</v>
      </c>
      <c r="D502" s="123" t="s">
        <v>1154</v>
      </c>
      <c r="E502" s="123" t="s">
        <v>1155</v>
      </c>
      <c r="F502" s="123" t="s">
        <v>1156</v>
      </c>
      <c r="G502" s="123" t="s">
        <v>388</v>
      </c>
      <c r="H502" s="123" t="s">
        <v>1149</v>
      </c>
      <c r="I502" s="407">
        <v>5500000</v>
      </c>
      <c r="J502" s="123" t="s">
        <v>847</v>
      </c>
      <c r="K502" s="123" t="s">
        <v>848</v>
      </c>
      <c r="L502" s="123"/>
      <c r="M502" s="123"/>
      <c r="N502" s="123" t="s">
        <v>1157</v>
      </c>
    </row>
    <row r="503" spans="1:14" s="7" customFormat="1" ht="15.75" x14ac:dyDescent="0.25">
      <c r="A503" s="486" t="s">
        <v>969</v>
      </c>
      <c r="B503" s="487"/>
      <c r="C503" s="487"/>
      <c r="D503" s="487"/>
      <c r="E503" s="487"/>
      <c r="F503" s="487"/>
      <c r="G503" s="487"/>
      <c r="H503" s="487"/>
      <c r="I503" s="487"/>
      <c r="J503" s="487"/>
      <c r="K503" s="487"/>
      <c r="L503" s="487"/>
      <c r="M503" s="487"/>
      <c r="N503" s="488"/>
    </row>
    <row r="504" spans="1:14" s="7" customFormat="1" ht="38.25" x14ac:dyDescent="0.25">
      <c r="A504" s="145" t="s">
        <v>1158</v>
      </c>
      <c r="B504" s="145" t="s">
        <v>777</v>
      </c>
      <c r="C504" s="153" t="s">
        <v>1144</v>
      </c>
      <c r="D504" s="145" t="s">
        <v>1145</v>
      </c>
      <c r="E504" s="145"/>
      <c r="F504" s="145"/>
      <c r="G504" s="145"/>
      <c r="H504" s="145" t="s">
        <v>1159</v>
      </c>
      <c r="I504" s="391">
        <v>50000</v>
      </c>
      <c r="J504" s="145" t="s">
        <v>656</v>
      </c>
      <c r="K504" s="145" t="s">
        <v>657</v>
      </c>
      <c r="L504" s="145"/>
      <c r="M504" s="145"/>
      <c r="N504" s="145"/>
    </row>
    <row r="505" spans="1:14" s="7" customFormat="1" ht="38.25" x14ac:dyDescent="0.25">
      <c r="A505" s="342" t="s">
        <v>1160</v>
      </c>
      <c r="B505" s="342"/>
      <c r="C505" s="168"/>
      <c r="D505" s="342" t="s">
        <v>1161</v>
      </c>
      <c r="E505" s="342"/>
      <c r="F505" s="342"/>
      <c r="G505" s="342"/>
      <c r="H505" s="145" t="s">
        <v>1159</v>
      </c>
      <c r="I505" s="391">
        <v>150000</v>
      </c>
      <c r="J505" s="145" t="s">
        <v>656</v>
      </c>
      <c r="K505" s="145" t="s">
        <v>657</v>
      </c>
      <c r="L505" s="342"/>
      <c r="M505" s="342"/>
      <c r="N505" s="342"/>
    </row>
    <row r="506" spans="1:14" s="7" customFormat="1" ht="38.25" x14ac:dyDescent="0.25">
      <c r="A506" s="145" t="s">
        <v>1162</v>
      </c>
      <c r="B506" s="145" t="s">
        <v>777</v>
      </c>
      <c r="C506" s="145" t="s">
        <v>1163</v>
      </c>
      <c r="D506" s="145" t="s">
        <v>1164</v>
      </c>
      <c r="E506" s="145"/>
      <c r="F506" s="145"/>
      <c r="G506" s="145"/>
      <c r="H506" s="145" t="s">
        <v>1159</v>
      </c>
      <c r="I506" s="391">
        <v>7000000</v>
      </c>
      <c r="J506" s="145" t="s">
        <v>656</v>
      </c>
      <c r="K506" s="145" t="s">
        <v>657</v>
      </c>
      <c r="L506" s="145"/>
      <c r="M506" s="145"/>
      <c r="N506" s="145"/>
    </row>
    <row r="507" spans="1:14" s="7" customFormat="1" ht="15.75" x14ac:dyDescent="0.25">
      <c r="A507" s="342"/>
      <c r="B507" s="342"/>
      <c r="C507" s="342"/>
      <c r="D507" s="342"/>
      <c r="E507" s="342"/>
      <c r="F507" s="342"/>
      <c r="G507" s="342"/>
      <c r="H507" s="342"/>
      <c r="I507" s="342"/>
      <c r="J507" s="342"/>
      <c r="K507" s="342"/>
      <c r="L507" s="342"/>
      <c r="M507" s="342"/>
      <c r="N507" s="342"/>
    </row>
    <row r="508" spans="1:14" s="7" customFormat="1" ht="15.75" x14ac:dyDescent="0.25">
      <c r="A508" s="480" t="s">
        <v>1165</v>
      </c>
      <c r="B508" s="481"/>
      <c r="C508" s="481"/>
      <c r="D508" s="481"/>
      <c r="E508" s="481"/>
      <c r="F508" s="481"/>
      <c r="G508" s="481"/>
      <c r="H508" s="481"/>
      <c r="I508" s="481"/>
      <c r="J508" s="481"/>
      <c r="K508" s="481"/>
      <c r="L508" s="481"/>
      <c r="M508" s="481"/>
      <c r="N508" s="482"/>
    </row>
    <row r="509" spans="1:14" s="7" customFormat="1" ht="15.75" x14ac:dyDescent="0.25">
      <c r="A509" s="489" t="s">
        <v>1166</v>
      </c>
      <c r="B509" s="490"/>
      <c r="C509" s="490"/>
      <c r="D509" s="490"/>
      <c r="E509" s="490"/>
      <c r="F509" s="490"/>
      <c r="G509" s="490"/>
      <c r="H509" s="490"/>
      <c r="I509" s="490"/>
      <c r="J509" s="490"/>
      <c r="K509" s="490"/>
      <c r="L509" s="490"/>
      <c r="M509" s="490"/>
      <c r="N509" s="491"/>
    </row>
    <row r="510" spans="1:14" s="7" customFormat="1" ht="102" x14ac:dyDescent="0.25">
      <c r="A510" s="278" t="s">
        <v>1167</v>
      </c>
      <c r="B510" s="11" t="s">
        <v>777</v>
      </c>
      <c r="C510" s="123" t="s">
        <v>1168</v>
      </c>
      <c r="D510" s="11" t="s">
        <v>1169</v>
      </c>
      <c r="E510" s="11" t="s">
        <v>1170</v>
      </c>
      <c r="F510" s="11" t="s">
        <v>1171</v>
      </c>
      <c r="G510" s="273" t="s">
        <v>388</v>
      </c>
      <c r="H510" s="11" t="s">
        <v>899</v>
      </c>
      <c r="I510" s="492">
        <v>2800000</v>
      </c>
      <c r="J510" s="273" t="s">
        <v>1172</v>
      </c>
      <c r="K510" s="273" t="s">
        <v>1173</v>
      </c>
      <c r="L510" s="11" t="s">
        <v>1169</v>
      </c>
      <c r="M510" s="11"/>
      <c r="N510" s="11" t="s">
        <v>1174</v>
      </c>
    </row>
    <row r="511" spans="1:14" s="7" customFormat="1" ht="15.75" x14ac:dyDescent="0.25">
      <c r="A511" s="493" t="s">
        <v>1175</v>
      </c>
      <c r="B511" s="494"/>
      <c r="C511" s="494"/>
      <c r="D511" s="494"/>
      <c r="E511" s="494"/>
      <c r="F511" s="494"/>
      <c r="G511" s="494"/>
      <c r="H511" s="494"/>
      <c r="I511" s="494"/>
      <c r="J511" s="494"/>
      <c r="K511" s="494"/>
      <c r="L511" s="494"/>
      <c r="M511" s="494"/>
      <c r="N511" s="495"/>
    </row>
    <row r="512" spans="1:14" s="7" customFormat="1" ht="409.5" x14ac:dyDescent="0.25">
      <c r="A512" s="18" t="s">
        <v>1176</v>
      </c>
      <c r="B512" s="18" t="s">
        <v>777</v>
      </c>
      <c r="C512" s="18" t="s">
        <v>1177</v>
      </c>
      <c r="D512" s="18" t="s">
        <v>1178</v>
      </c>
      <c r="E512" s="18" t="s">
        <v>1179</v>
      </c>
      <c r="F512" s="18" t="s">
        <v>1180</v>
      </c>
      <c r="G512" s="18" t="s">
        <v>388</v>
      </c>
      <c r="H512" s="18" t="s">
        <v>725</v>
      </c>
      <c r="I512" s="496">
        <v>50000000</v>
      </c>
      <c r="J512" s="18" t="s">
        <v>1181</v>
      </c>
      <c r="K512" s="18"/>
      <c r="L512" s="497">
        <v>0.61350000000000005</v>
      </c>
      <c r="M512" s="18" t="s">
        <v>1182</v>
      </c>
      <c r="N512" s="18" t="s">
        <v>1183</v>
      </c>
    </row>
    <row r="513" spans="1:14" s="7" customFormat="1" ht="114.75" x14ac:dyDescent="0.25">
      <c r="A513" s="18" t="s">
        <v>1184</v>
      </c>
      <c r="B513" s="498" t="s">
        <v>777</v>
      </c>
      <c r="C513" s="499" t="s">
        <v>1185</v>
      </c>
      <c r="D513" s="36" t="s">
        <v>1186</v>
      </c>
      <c r="E513" s="36" t="s">
        <v>1187</v>
      </c>
      <c r="F513" s="18" t="s">
        <v>927</v>
      </c>
      <c r="G513" s="15" t="s">
        <v>388</v>
      </c>
      <c r="H513" s="15" t="s">
        <v>899</v>
      </c>
      <c r="I513" s="500">
        <v>1500000</v>
      </c>
      <c r="J513" s="501" t="s">
        <v>1188</v>
      </c>
      <c r="K513" s="502"/>
      <c r="L513" s="503">
        <v>0.85050000000000003</v>
      </c>
      <c r="M513" s="504" t="s">
        <v>1189</v>
      </c>
      <c r="N513" s="123" t="s">
        <v>1190</v>
      </c>
    </row>
    <row r="514" spans="1:14" s="7" customFormat="1" ht="165.75" x14ac:dyDescent="0.25">
      <c r="A514" s="18" t="s">
        <v>1167</v>
      </c>
      <c r="B514" s="505" t="s">
        <v>777</v>
      </c>
      <c r="C514" s="506" t="s">
        <v>1191</v>
      </c>
      <c r="D514" s="36" t="s">
        <v>1192</v>
      </c>
      <c r="E514" s="36" t="s">
        <v>1193</v>
      </c>
      <c r="F514" s="18" t="s">
        <v>927</v>
      </c>
      <c r="G514" s="15" t="s">
        <v>388</v>
      </c>
      <c r="H514" s="15" t="s">
        <v>1194</v>
      </c>
      <c r="I514" s="500">
        <v>3111997</v>
      </c>
      <c r="J514" s="507" t="s">
        <v>1195</v>
      </c>
      <c r="K514" s="502"/>
      <c r="L514" s="15" t="s">
        <v>1196</v>
      </c>
      <c r="M514" s="15"/>
      <c r="N514" s="11" t="s">
        <v>1197</v>
      </c>
    </row>
    <row r="515" spans="1:14" s="7" customFormat="1" ht="267.75" x14ac:dyDescent="0.25">
      <c r="A515" s="508"/>
      <c r="B515" s="509"/>
      <c r="C515" s="510"/>
      <c r="D515" s="36" t="s">
        <v>1192</v>
      </c>
      <c r="E515" s="36" t="s">
        <v>1198</v>
      </c>
      <c r="F515" s="18" t="s">
        <v>1199</v>
      </c>
      <c r="G515" s="15" t="s">
        <v>388</v>
      </c>
      <c r="H515" s="15" t="s">
        <v>1194</v>
      </c>
      <c r="I515" s="500">
        <v>845750.72</v>
      </c>
      <c r="J515" s="511" t="s">
        <v>906</v>
      </c>
      <c r="K515" s="512" t="s">
        <v>1200</v>
      </c>
      <c r="L515" s="15" t="s">
        <v>1201</v>
      </c>
      <c r="M515" s="15" t="s">
        <v>1202</v>
      </c>
      <c r="N515" s="193" t="s">
        <v>1203</v>
      </c>
    </row>
    <row r="516" spans="1:14" s="7" customFormat="1" ht="267.75" x14ac:dyDescent="0.25">
      <c r="A516" s="508"/>
      <c r="B516" s="509"/>
      <c r="C516" s="513"/>
      <c r="D516" s="36" t="s">
        <v>1192</v>
      </c>
      <c r="E516" s="36" t="s">
        <v>1204</v>
      </c>
      <c r="F516" s="18" t="s">
        <v>1199</v>
      </c>
      <c r="G516" s="15" t="s">
        <v>388</v>
      </c>
      <c r="H516" s="15" t="s">
        <v>1194</v>
      </c>
      <c r="I516" s="500">
        <v>1382420.41</v>
      </c>
      <c r="J516" s="507" t="s">
        <v>906</v>
      </c>
      <c r="K516" s="512" t="s">
        <v>1205</v>
      </c>
      <c r="L516" s="15" t="s">
        <v>1201</v>
      </c>
      <c r="M516" s="15" t="s">
        <v>1206</v>
      </c>
      <c r="N516" s="11" t="s">
        <v>1207</v>
      </c>
    </row>
    <row r="517" spans="1:14" s="7" customFormat="1" ht="15.75" x14ac:dyDescent="0.25">
      <c r="A517" s="489" t="s">
        <v>913</v>
      </c>
      <c r="B517" s="490"/>
      <c r="C517" s="490"/>
      <c r="D517" s="490"/>
      <c r="E517" s="490"/>
      <c r="F517" s="490"/>
      <c r="G517" s="490"/>
      <c r="H517" s="490"/>
      <c r="I517" s="490"/>
      <c r="J517" s="490"/>
      <c r="K517" s="490"/>
      <c r="L517" s="490"/>
      <c r="M517" s="490"/>
      <c r="N517" s="491"/>
    </row>
    <row r="518" spans="1:14" s="7" customFormat="1" ht="15.75" x14ac:dyDescent="0.25">
      <c r="A518" s="514" t="s">
        <v>1208</v>
      </c>
      <c r="B518" s="515"/>
      <c r="C518" s="515"/>
      <c r="D518" s="515"/>
      <c r="E518" s="515"/>
      <c r="F518" s="515"/>
      <c r="G518" s="515"/>
      <c r="H518" s="515"/>
      <c r="I518" s="515"/>
      <c r="J518" s="515"/>
      <c r="K518" s="515"/>
      <c r="L518" s="515"/>
      <c r="M518" s="515"/>
      <c r="N518" s="516"/>
    </row>
    <row r="519" spans="1:14" s="7" customFormat="1" ht="127.5" x14ac:dyDescent="0.25">
      <c r="A519" s="517" t="s">
        <v>1209</v>
      </c>
      <c r="B519" s="31" t="s">
        <v>777</v>
      </c>
      <c r="C519" s="517" t="s">
        <v>1210</v>
      </c>
      <c r="D519" s="517" t="s">
        <v>1211</v>
      </c>
      <c r="E519" s="517" t="s">
        <v>1212</v>
      </c>
      <c r="F519" s="31"/>
      <c r="G519" s="280"/>
      <c r="H519" s="280" t="s">
        <v>725</v>
      </c>
      <c r="I519" s="518">
        <v>40000</v>
      </c>
      <c r="J519" s="519" t="s">
        <v>847</v>
      </c>
      <c r="K519" s="284"/>
      <c r="L519" s="284"/>
      <c r="M519" s="280"/>
      <c r="N519" s="278" t="s">
        <v>1213</v>
      </c>
    </row>
    <row r="520" spans="1:14" s="7" customFormat="1" ht="89.25" x14ac:dyDescent="0.25">
      <c r="A520" s="520" t="s">
        <v>1214</v>
      </c>
      <c r="B520" s="31" t="s">
        <v>777</v>
      </c>
      <c r="C520" s="520" t="s">
        <v>1215</v>
      </c>
      <c r="D520" s="520" t="s">
        <v>1216</v>
      </c>
      <c r="E520" s="520" t="s">
        <v>1212</v>
      </c>
      <c r="F520" s="521" t="s">
        <v>1217</v>
      </c>
      <c r="G520" s="522"/>
      <c r="H520" s="522" t="s">
        <v>725</v>
      </c>
      <c r="I520" s="523">
        <v>50000</v>
      </c>
      <c r="J520" s="519" t="s">
        <v>847</v>
      </c>
      <c r="K520" s="502"/>
      <c r="L520" s="512" t="s">
        <v>1218</v>
      </c>
      <c r="M520" s="524">
        <v>18330</v>
      </c>
      <c r="N520" s="525"/>
    </row>
    <row r="521" spans="1:14" s="7" customFormat="1" ht="105.75" customHeight="1" x14ac:dyDescent="0.25">
      <c r="A521" s="36" t="s">
        <v>1219</v>
      </c>
      <c r="B521" s="31" t="s">
        <v>777</v>
      </c>
      <c r="C521" s="36" t="s">
        <v>1220</v>
      </c>
      <c r="D521" s="36" t="s">
        <v>1221</v>
      </c>
      <c r="E521" s="36" t="s">
        <v>1212</v>
      </c>
      <c r="F521" s="18"/>
      <c r="G521" s="15"/>
      <c r="H521" s="15" t="s">
        <v>725</v>
      </c>
      <c r="I521" s="526">
        <v>100000</v>
      </c>
      <c r="J521" s="519" t="s">
        <v>847</v>
      </c>
      <c r="K521" s="284"/>
      <c r="L521" s="502"/>
      <c r="M521" s="522"/>
      <c r="N521" s="527" t="s">
        <v>1222</v>
      </c>
    </row>
    <row r="522" spans="1:14" s="7" customFormat="1" ht="229.5" x14ac:dyDescent="0.25">
      <c r="A522" s="517" t="s">
        <v>1223</v>
      </c>
      <c r="B522" s="31" t="s">
        <v>777</v>
      </c>
      <c r="C522" s="517" t="s">
        <v>1224</v>
      </c>
      <c r="D522" s="517" t="s">
        <v>1225</v>
      </c>
      <c r="E522" s="517" t="s">
        <v>1226</v>
      </c>
      <c r="F522" s="31"/>
      <c r="G522" s="528"/>
      <c r="H522" s="529" t="s">
        <v>783</v>
      </c>
      <c r="I522" s="518">
        <v>1000000</v>
      </c>
      <c r="J522" s="530" t="s">
        <v>847</v>
      </c>
      <c r="K522" s="284"/>
      <c r="L522" s="502"/>
      <c r="M522" s="522"/>
      <c r="N522" s="531" t="s">
        <v>1227</v>
      </c>
    </row>
    <row r="523" spans="1:14" s="7" customFormat="1" ht="102" x14ac:dyDescent="0.25">
      <c r="A523" s="36" t="s">
        <v>1228</v>
      </c>
      <c r="B523" s="31" t="s">
        <v>777</v>
      </c>
      <c r="C523" s="36" t="s">
        <v>1229</v>
      </c>
      <c r="D523" s="36" t="s">
        <v>1230</v>
      </c>
      <c r="E523" s="36" t="s">
        <v>1231</v>
      </c>
      <c r="F523" s="18" t="s">
        <v>1232</v>
      </c>
      <c r="G523" s="15" t="s">
        <v>388</v>
      </c>
      <c r="H523" s="15" t="s">
        <v>783</v>
      </c>
      <c r="I523" s="526">
        <v>5000000</v>
      </c>
      <c r="J523" s="532" t="s">
        <v>847</v>
      </c>
      <c r="K523" s="284"/>
      <c r="L523" s="533">
        <v>0.28000000000000003</v>
      </c>
      <c r="M523" s="15"/>
      <c r="N523" s="11" t="s">
        <v>1233</v>
      </c>
    </row>
    <row r="524" spans="1:14" s="7" customFormat="1" ht="15.75" x14ac:dyDescent="0.25">
      <c r="A524" s="429" t="s">
        <v>1234</v>
      </c>
      <c r="B524" s="430"/>
      <c r="C524" s="430"/>
      <c r="D524" s="430"/>
      <c r="E524" s="430"/>
      <c r="F524" s="430"/>
      <c r="G524" s="430"/>
      <c r="H524" s="430"/>
      <c r="I524" s="430"/>
      <c r="J524" s="430"/>
      <c r="K524" s="430"/>
      <c r="L524" s="430"/>
      <c r="M524" s="430"/>
      <c r="N524" s="431"/>
    </row>
    <row r="525" spans="1:14" s="7" customFormat="1" ht="38.25" x14ac:dyDescent="0.25">
      <c r="A525" s="517" t="s">
        <v>1235</v>
      </c>
      <c r="B525" s="31" t="s">
        <v>777</v>
      </c>
      <c r="C525" s="517"/>
      <c r="D525" s="517"/>
      <c r="E525" s="517"/>
      <c r="F525" s="31"/>
      <c r="G525" s="280"/>
      <c r="H525" s="280"/>
      <c r="I525" s="518"/>
      <c r="J525" s="519"/>
      <c r="K525" s="284"/>
      <c r="L525" s="284"/>
      <c r="M525" s="280"/>
      <c r="N525" s="278"/>
    </row>
    <row r="526" spans="1:14" s="7" customFormat="1" ht="102" x14ac:dyDescent="0.25">
      <c r="A526" s="520" t="s">
        <v>1236</v>
      </c>
      <c r="B526" s="521"/>
      <c r="C526" s="520" t="s">
        <v>1237</v>
      </c>
      <c r="D526" s="520" t="s">
        <v>1238</v>
      </c>
      <c r="E526" s="520"/>
      <c r="F526" s="521"/>
      <c r="G526" s="522"/>
      <c r="H526" s="522" t="s">
        <v>899</v>
      </c>
      <c r="I526" s="523">
        <v>6000000</v>
      </c>
      <c r="J526" s="519" t="s">
        <v>656</v>
      </c>
      <c r="K526" s="502" t="s">
        <v>657</v>
      </c>
      <c r="L526" s="512"/>
      <c r="M526" s="522"/>
      <c r="N526" s="531"/>
    </row>
    <row r="527" spans="1:14" s="7" customFormat="1" ht="38.25" x14ac:dyDescent="0.25">
      <c r="A527" s="517" t="s">
        <v>1239</v>
      </c>
      <c r="B527" s="31" t="s">
        <v>777</v>
      </c>
      <c r="C527" s="517"/>
      <c r="D527" s="517"/>
      <c r="E527" s="517"/>
      <c r="F527" s="31"/>
      <c r="G527" s="280"/>
      <c r="H527" s="280"/>
      <c r="I527" s="518"/>
      <c r="J527" s="519"/>
      <c r="K527" s="284"/>
      <c r="L527" s="284"/>
      <c r="M527" s="280"/>
      <c r="N527" s="278"/>
    </row>
    <row r="528" spans="1:14" s="7" customFormat="1" ht="114.75" x14ac:dyDescent="0.25">
      <c r="A528" s="520" t="s">
        <v>1240</v>
      </c>
      <c r="B528" s="521"/>
      <c r="C528" s="520" t="s">
        <v>1241</v>
      </c>
      <c r="D528" s="520" t="s">
        <v>1242</v>
      </c>
      <c r="E528" s="520"/>
      <c r="F528" s="521"/>
      <c r="G528" s="522"/>
      <c r="H528" s="522" t="s">
        <v>1243</v>
      </c>
      <c r="I528" s="523">
        <v>4000000</v>
      </c>
      <c r="J528" s="519" t="s">
        <v>656</v>
      </c>
      <c r="K528" s="502" t="s">
        <v>1244</v>
      </c>
      <c r="L528" s="512"/>
      <c r="M528" s="522"/>
      <c r="N528" s="531"/>
    </row>
    <row r="529" spans="1:14" s="7" customFormat="1" ht="63.75" x14ac:dyDescent="0.25">
      <c r="A529" s="520"/>
      <c r="B529" s="521"/>
      <c r="C529" s="520"/>
      <c r="D529" s="520" t="s">
        <v>1245</v>
      </c>
      <c r="E529" s="520"/>
      <c r="F529" s="521"/>
      <c r="G529" s="522"/>
      <c r="H529" s="522" t="s">
        <v>1243</v>
      </c>
      <c r="I529" s="523">
        <v>8000000</v>
      </c>
      <c r="J529" s="519" t="s">
        <v>656</v>
      </c>
      <c r="K529" s="502" t="s">
        <v>657</v>
      </c>
      <c r="L529" s="512"/>
      <c r="M529" s="522"/>
      <c r="N529" s="531"/>
    </row>
    <row r="530" spans="1:14" s="7" customFormat="1" ht="51" x14ac:dyDescent="0.25">
      <c r="A530" s="520" t="s">
        <v>1246</v>
      </c>
      <c r="B530" s="521"/>
      <c r="C530" s="520" t="s">
        <v>1247</v>
      </c>
      <c r="D530" s="520" t="s">
        <v>1248</v>
      </c>
      <c r="E530" s="520"/>
      <c r="F530" s="521"/>
      <c r="G530" s="522"/>
      <c r="H530" s="522" t="s">
        <v>199</v>
      </c>
      <c r="I530" s="523">
        <v>150000</v>
      </c>
      <c r="J530" s="519" t="s">
        <v>656</v>
      </c>
      <c r="K530" s="502" t="s">
        <v>1244</v>
      </c>
      <c r="L530" s="512"/>
      <c r="M530" s="522"/>
      <c r="N530" s="531"/>
    </row>
    <row r="531" spans="1:14" s="7" customFormat="1" ht="38.25" x14ac:dyDescent="0.25">
      <c r="A531" s="517" t="s">
        <v>1249</v>
      </c>
      <c r="B531" s="31" t="s">
        <v>777</v>
      </c>
      <c r="C531" s="517" t="s">
        <v>1250</v>
      </c>
      <c r="D531" s="517"/>
      <c r="E531" s="517"/>
      <c r="F531" s="31"/>
      <c r="G531" s="280"/>
      <c r="H531" s="280"/>
      <c r="I531" s="518"/>
      <c r="J531" s="519"/>
      <c r="K531" s="284"/>
      <c r="L531" s="284"/>
      <c r="M531" s="280"/>
      <c r="N531" s="278"/>
    </row>
    <row r="532" spans="1:14" s="7" customFormat="1" ht="38.25" x14ac:dyDescent="0.25">
      <c r="A532" s="520" t="s">
        <v>1251</v>
      </c>
      <c r="B532" s="521"/>
      <c r="C532" s="520"/>
      <c r="D532" s="520" t="s">
        <v>1252</v>
      </c>
      <c r="E532" s="520"/>
      <c r="F532" s="521"/>
      <c r="G532" s="522"/>
      <c r="H532" s="522" t="s">
        <v>1243</v>
      </c>
      <c r="I532" s="523">
        <v>5000000</v>
      </c>
      <c r="J532" s="519" t="s">
        <v>656</v>
      </c>
      <c r="K532" s="502" t="s">
        <v>1244</v>
      </c>
      <c r="L532" s="512"/>
      <c r="M532" s="522"/>
      <c r="N532" s="531"/>
    </row>
    <row r="533" spans="1:14" s="7" customFormat="1" ht="63.75" x14ac:dyDescent="0.25">
      <c r="A533" s="520"/>
      <c r="B533" s="521"/>
      <c r="C533" s="520"/>
      <c r="D533" s="520" t="s">
        <v>1253</v>
      </c>
      <c r="E533" s="520" t="s">
        <v>1254</v>
      </c>
      <c r="F533" s="521"/>
      <c r="G533" s="522"/>
      <c r="H533" s="522" t="s">
        <v>1243</v>
      </c>
      <c r="I533" s="523">
        <v>22000000</v>
      </c>
      <c r="J533" s="519" t="s">
        <v>656</v>
      </c>
      <c r="K533" s="502" t="s">
        <v>1244</v>
      </c>
      <c r="L533" s="512"/>
      <c r="M533" s="522"/>
      <c r="N533" s="531"/>
    </row>
    <row r="534" spans="1:14" s="7" customFormat="1" ht="25.5" x14ac:dyDescent="0.25">
      <c r="A534" s="520"/>
      <c r="B534" s="521"/>
      <c r="C534" s="520"/>
      <c r="D534" s="520" t="s">
        <v>1255</v>
      </c>
      <c r="E534" s="520"/>
      <c r="F534" s="521"/>
      <c r="G534" s="522"/>
      <c r="H534" s="522" t="s">
        <v>1256</v>
      </c>
      <c r="I534" s="523">
        <v>50000</v>
      </c>
      <c r="J534" s="519" t="s">
        <v>656</v>
      </c>
      <c r="K534" s="502" t="s">
        <v>1244</v>
      </c>
      <c r="L534" s="512"/>
      <c r="M534" s="522"/>
      <c r="N534" s="531"/>
    </row>
    <row r="535" spans="1:14" s="7" customFormat="1" ht="15.75" x14ac:dyDescent="0.25">
      <c r="A535" s="480" t="s">
        <v>1257</v>
      </c>
      <c r="B535" s="481"/>
      <c r="C535" s="481"/>
      <c r="D535" s="481"/>
      <c r="E535" s="481"/>
      <c r="F535" s="481"/>
      <c r="G535" s="481"/>
      <c r="H535" s="481"/>
      <c r="I535" s="481"/>
      <c r="J535" s="481"/>
      <c r="K535" s="481"/>
      <c r="L535" s="481"/>
      <c r="M535" s="481"/>
      <c r="N535" s="482"/>
    </row>
    <row r="536" spans="1:14" s="7" customFormat="1" ht="15.75" x14ac:dyDescent="0.25">
      <c r="A536" s="489" t="s">
        <v>1258</v>
      </c>
      <c r="B536" s="490"/>
      <c r="C536" s="490"/>
      <c r="D536" s="490"/>
      <c r="E536" s="490"/>
      <c r="F536" s="490"/>
      <c r="G536" s="490"/>
      <c r="H536" s="490"/>
      <c r="I536" s="490"/>
      <c r="J536" s="490"/>
      <c r="K536" s="490"/>
      <c r="L536" s="490"/>
      <c r="M536" s="490"/>
      <c r="N536" s="491"/>
    </row>
    <row r="537" spans="1:14" s="7" customFormat="1" ht="153" x14ac:dyDescent="0.25">
      <c r="A537" s="278" t="s">
        <v>1259</v>
      </c>
      <c r="B537" s="31" t="s">
        <v>777</v>
      </c>
      <c r="C537" s="145" t="s">
        <v>1260</v>
      </c>
      <c r="D537" s="145" t="s">
        <v>1261</v>
      </c>
      <c r="E537" s="145" t="s">
        <v>1262</v>
      </c>
      <c r="F537" s="391" t="s">
        <v>1263</v>
      </c>
      <c r="G537" s="392" t="s">
        <v>388</v>
      </c>
      <c r="H537" s="284" t="s">
        <v>199</v>
      </c>
      <c r="I537" s="395">
        <v>600000</v>
      </c>
      <c r="J537" s="15" t="s">
        <v>875</v>
      </c>
      <c r="K537" s="280" t="s">
        <v>848</v>
      </c>
      <c r="L537" s="393"/>
      <c r="M537" s="145"/>
      <c r="N537" s="145" t="s">
        <v>1264</v>
      </c>
    </row>
    <row r="538" spans="1:14" s="7" customFormat="1" ht="216.75" x14ac:dyDescent="0.25">
      <c r="A538" s="278" t="s">
        <v>1265</v>
      </c>
      <c r="B538" s="31" t="s">
        <v>777</v>
      </c>
      <c r="C538" s="278" t="s">
        <v>1266</v>
      </c>
      <c r="D538" s="145" t="s">
        <v>1267</v>
      </c>
      <c r="E538" s="145" t="s">
        <v>1268</v>
      </c>
      <c r="F538" s="391" t="s">
        <v>1269</v>
      </c>
      <c r="G538" s="392" t="s">
        <v>388</v>
      </c>
      <c r="H538" s="284" t="s">
        <v>199</v>
      </c>
      <c r="I538" s="395">
        <v>300000</v>
      </c>
      <c r="J538" s="15" t="s">
        <v>875</v>
      </c>
      <c r="K538" s="280" t="s">
        <v>848</v>
      </c>
      <c r="L538" s="280" t="s">
        <v>1270</v>
      </c>
      <c r="M538" s="145"/>
      <c r="N538" s="145" t="s">
        <v>1271</v>
      </c>
    </row>
    <row r="539" spans="1:14" s="7" customFormat="1" ht="15.75" x14ac:dyDescent="0.25">
      <c r="A539" s="429" t="s">
        <v>1234</v>
      </c>
      <c r="B539" s="430"/>
      <c r="C539" s="430"/>
      <c r="D539" s="430"/>
      <c r="E539" s="430"/>
      <c r="F539" s="430"/>
      <c r="G539" s="430"/>
      <c r="H539" s="430"/>
      <c r="I539" s="430"/>
      <c r="J539" s="430"/>
      <c r="K539" s="430"/>
      <c r="L539" s="430"/>
      <c r="M539" s="430"/>
      <c r="N539" s="431"/>
    </row>
    <row r="540" spans="1:14" s="7" customFormat="1" ht="51" x14ac:dyDescent="0.25">
      <c r="A540" s="278" t="s">
        <v>1259</v>
      </c>
      <c r="B540" s="31" t="s">
        <v>777</v>
      </c>
      <c r="C540" s="145" t="s">
        <v>1260</v>
      </c>
      <c r="D540" s="145" t="s">
        <v>1261</v>
      </c>
      <c r="E540" s="145"/>
      <c r="F540" s="391"/>
      <c r="G540" s="392"/>
      <c r="H540" s="284" t="s">
        <v>199</v>
      </c>
      <c r="I540" s="395">
        <v>600000</v>
      </c>
      <c r="J540" s="15" t="s">
        <v>875</v>
      </c>
      <c r="K540" s="280" t="s">
        <v>848</v>
      </c>
      <c r="L540" s="393"/>
      <c r="M540" s="145"/>
      <c r="N540" s="145"/>
    </row>
    <row r="541" spans="1:14" s="7" customFormat="1" ht="38.25" x14ac:dyDescent="0.25">
      <c r="A541" s="278" t="s">
        <v>1265</v>
      </c>
      <c r="B541" s="31" t="s">
        <v>777</v>
      </c>
      <c r="C541" s="278" t="s">
        <v>1272</v>
      </c>
      <c r="D541" s="145" t="s">
        <v>1267</v>
      </c>
      <c r="E541" s="145"/>
      <c r="F541" s="391"/>
      <c r="G541" s="392"/>
      <c r="H541" s="284" t="s">
        <v>199</v>
      </c>
      <c r="I541" s="395">
        <v>1000000</v>
      </c>
      <c r="J541" s="15" t="s">
        <v>875</v>
      </c>
      <c r="K541" s="280" t="s">
        <v>848</v>
      </c>
      <c r="L541" s="534"/>
      <c r="M541" s="145"/>
      <c r="N541" s="145"/>
    </row>
    <row r="542" spans="1:14" s="7" customFormat="1" ht="15.75" x14ac:dyDescent="0.25">
      <c r="A542" s="480" t="s">
        <v>1273</v>
      </c>
      <c r="B542" s="481"/>
      <c r="C542" s="481"/>
      <c r="D542" s="481"/>
      <c r="E542" s="481"/>
      <c r="F542" s="481"/>
      <c r="G542" s="481"/>
      <c r="H542" s="481"/>
      <c r="I542" s="481"/>
      <c r="J542" s="481"/>
      <c r="K542" s="481"/>
      <c r="L542" s="481"/>
      <c r="M542" s="481"/>
      <c r="N542" s="482"/>
    </row>
    <row r="543" spans="1:14" s="7" customFormat="1" ht="15.75" x14ac:dyDescent="0.25">
      <c r="A543" s="493" t="s">
        <v>1274</v>
      </c>
      <c r="B543" s="494"/>
      <c r="C543" s="494"/>
      <c r="D543" s="494"/>
      <c r="E543" s="494"/>
      <c r="F543" s="494"/>
      <c r="G543" s="494"/>
      <c r="H543" s="494"/>
      <c r="I543" s="494"/>
      <c r="J543" s="494"/>
      <c r="K543" s="494"/>
      <c r="L543" s="494"/>
      <c r="M543" s="494"/>
      <c r="N543" s="495"/>
    </row>
    <row r="544" spans="1:14" s="7" customFormat="1" ht="191.25" x14ac:dyDescent="0.25">
      <c r="A544" s="535" t="s">
        <v>1275</v>
      </c>
      <c r="B544" s="535" t="s">
        <v>777</v>
      </c>
      <c r="C544" s="536" t="s">
        <v>1276</v>
      </c>
      <c r="D544" s="535" t="s">
        <v>1277</v>
      </c>
      <c r="E544" s="310" t="s">
        <v>904</v>
      </c>
      <c r="F544" s="310" t="s">
        <v>1278</v>
      </c>
      <c r="G544" s="310" t="s">
        <v>388</v>
      </c>
      <c r="H544" s="310" t="s">
        <v>1279</v>
      </c>
      <c r="I544" s="537">
        <v>10100000</v>
      </c>
      <c r="J544" s="538" t="s">
        <v>1280</v>
      </c>
      <c r="K544" s="131"/>
      <c r="L544" s="347"/>
      <c r="M544" s="145"/>
      <c r="N544" s="310" t="s">
        <v>1281</v>
      </c>
    </row>
    <row r="545" spans="1:14" s="7" customFormat="1" ht="153" x14ac:dyDescent="0.25">
      <c r="A545" s="539" t="s">
        <v>1282</v>
      </c>
      <c r="B545" s="37" t="s">
        <v>777</v>
      </c>
      <c r="C545" s="540" t="s">
        <v>1283</v>
      </c>
      <c r="D545" s="541" t="s">
        <v>1284</v>
      </c>
      <c r="E545" s="542" t="s">
        <v>904</v>
      </c>
      <c r="F545" s="543" t="s">
        <v>1285</v>
      </c>
      <c r="G545" s="542" t="s">
        <v>388</v>
      </c>
      <c r="H545" s="542" t="s">
        <v>1286</v>
      </c>
      <c r="I545" s="544">
        <v>338203</v>
      </c>
      <c r="J545" s="545" t="s">
        <v>1287</v>
      </c>
      <c r="K545" s="545" t="s">
        <v>1288</v>
      </c>
      <c r="L545" s="543"/>
      <c r="M545" s="543"/>
      <c r="N545" s="546" t="s">
        <v>1289</v>
      </c>
    </row>
    <row r="546" spans="1:14" s="7" customFormat="1" ht="15.75" x14ac:dyDescent="0.25">
      <c r="A546" s="489" t="s">
        <v>1290</v>
      </c>
      <c r="B546" s="490"/>
      <c r="C546" s="490"/>
      <c r="D546" s="490"/>
      <c r="E546" s="490"/>
      <c r="F546" s="490"/>
      <c r="G546" s="490"/>
      <c r="H546" s="490"/>
      <c r="I546" s="490"/>
      <c r="J546" s="490"/>
      <c r="K546" s="490"/>
      <c r="L546" s="490"/>
      <c r="M546" s="490"/>
      <c r="N546" s="491"/>
    </row>
    <row r="547" spans="1:14" s="7" customFormat="1" ht="63.75" x14ac:dyDescent="0.2">
      <c r="A547" s="512" t="s">
        <v>1291</v>
      </c>
      <c r="B547" s="547"/>
      <c r="C547" s="548"/>
      <c r="D547" s="397" t="s">
        <v>1292</v>
      </c>
      <c r="E547" s="512" t="s">
        <v>904</v>
      </c>
      <c r="F547" s="549"/>
      <c r="G547" s="550"/>
      <c r="H547" s="512" t="s">
        <v>783</v>
      </c>
      <c r="I547" s="524" t="s">
        <v>1293</v>
      </c>
      <c r="J547" s="551" t="s">
        <v>1294</v>
      </c>
      <c r="K547" s="551" t="s">
        <v>1295</v>
      </c>
      <c r="L547" s="397"/>
      <c r="M547" s="512"/>
      <c r="N547" s="397" t="s">
        <v>1296</v>
      </c>
    </row>
    <row r="548" spans="1:14" s="7" customFormat="1" ht="15.75" x14ac:dyDescent="0.25">
      <c r="A548" s="489" t="s">
        <v>1297</v>
      </c>
      <c r="B548" s="490"/>
      <c r="C548" s="490"/>
      <c r="D548" s="490"/>
      <c r="E548" s="490"/>
      <c r="F548" s="490"/>
      <c r="G548" s="490"/>
      <c r="H548" s="490"/>
      <c r="I548" s="490"/>
      <c r="J548" s="490"/>
      <c r="K548" s="490"/>
      <c r="L548" s="490"/>
      <c r="M548" s="490"/>
      <c r="N548" s="491"/>
    </row>
    <row r="549" spans="1:14" s="7" customFormat="1" ht="63.75" x14ac:dyDescent="0.25">
      <c r="A549" s="145" t="s">
        <v>1298</v>
      </c>
      <c r="B549" s="123" t="s">
        <v>777</v>
      </c>
      <c r="C549" s="145" t="s">
        <v>1299</v>
      </c>
      <c r="D549" s="278" t="s">
        <v>1300</v>
      </c>
      <c r="E549" s="36" t="s">
        <v>904</v>
      </c>
      <c r="F549" s="485" t="s">
        <v>1301</v>
      </c>
      <c r="G549" s="123" t="s">
        <v>388</v>
      </c>
      <c r="H549" s="15" t="s">
        <v>899</v>
      </c>
      <c r="I549" s="552">
        <v>30000000</v>
      </c>
      <c r="J549" s="553" t="s">
        <v>1302</v>
      </c>
      <c r="K549" s="553"/>
      <c r="L549" s="554">
        <v>0.94089999999999996</v>
      </c>
      <c r="M549" s="395">
        <v>5898695.75</v>
      </c>
      <c r="N549" s="278" t="s">
        <v>1303</v>
      </c>
    </row>
    <row r="550" spans="1:14" s="7" customFormat="1" ht="15.75" x14ac:dyDescent="0.25">
      <c r="A550" s="489" t="s">
        <v>1304</v>
      </c>
      <c r="B550" s="490"/>
      <c r="C550" s="490"/>
      <c r="D550" s="490"/>
      <c r="E550" s="490"/>
      <c r="F550" s="490"/>
      <c r="G550" s="490"/>
      <c r="H550" s="490"/>
      <c r="I550" s="490"/>
      <c r="J550" s="490"/>
      <c r="K550" s="490"/>
      <c r="L550" s="490"/>
      <c r="M550" s="490"/>
      <c r="N550" s="491"/>
    </row>
    <row r="551" spans="1:14" s="7" customFormat="1" ht="38.25" x14ac:dyDescent="0.25">
      <c r="A551" s="278" t="s">
        <v>1305</v>
      </c>
      <c r="B551" s="145" t="s">
        <v>777</v>
      </c>
      <c r="C551" s="278"/>
      <c r="D551" s="280"/>
      <c r="E551" s="278"/>
      <c r="F551" s="391"/>
      <c r="G551" s="392"/>
      <c r="H551" s="142"/>
      <c r="I551" s="392"/>
      <c r="J551" s="123"/>
      <c r="K551" s="145"/>
      <c r="L551" s="393"/>
      <c r="M551" s="145"/>
      <c r="N551" s="145"/>
    </row>
    <row r="552" spans="1:14" s="7" customFormat="1" ht="102" x14ac:dyDescent="0.25">
      <c r="A552" s="278" t="s">
        <v>1306</v>
      </c>
      <c r="B552" s="31" t="s">
        <v>777</v>
      </c>
      <c r="C552" s="394" t="s">
        <v>1307</v>
      </c>
      <c r="D552" s="145" t="s">
        <v>1308</v>
      </c>
      <c r="E552" s="555" t="s">
        <v>904</v>
      </c>
      <c r="F552" s="556" t="s">
        <v>1263</v>
      </c>
      <c r="G552" s="557" t="s">
        <v>388</v>
      </c>
      <c r="H552" s="558" t="s">
        <v>199</v>
      </c>
      <c r="I552" s="559">
        <v>600000</v>
      </c>
      <c r="J552" s="313" t="s">
        <v>875</v>
      </c>
      <c r="K552" s="560" t="s">
        <v>848</v>
      </c>
      <c r="L552" s="561" t="s">
        <v>1309</v>
      </c>
      <c r="M552" s="145"/>
      <c r="N552" s="153" t="s">
        <v>1310</v>
      </c>
    </row>
    <row r="553" spans="1:14" s="7" customFormat="1" ht="102" x14ac:dyDescent="0.25">
      <c r="A553" s="278" t="s">
        <v>1311</v>
      </c>
      <c r="B553" s="145"/>
      <c r="C553" s="394"/>
      <c r="D553" s="145" t="s">
        <v>1312</v>
      </c>
      <c r="E553" s="562"/>
      <c r="F553" s="563"/>
      <c r="G553" s="564"/>
      <c r="H553" s="565"/>
      <c r="I553" s="559"/>
      <c r="J553" s="313"/>
      <c r="K553" s="560"/>
      <c r="L553" s="561" t="s">
        <v>1313</v>
      </c>
      <c r="M553" s="145"/>
      <c r="N553" s="155"/>
    </row>
    <row r="554" spans="1:14" s="7" customFormat="1" ht="102" x14ac:dyDescent="0.25">
      <c r="A554" s="278" t="s">
        <v>1314</v>
      </c>
      <c r="B554" s="145"/>
      <c r="C554" s="394"/>
      <c r="D554" s="145" t="s">
        <v>1315</v>
      </c>
      <c r="E554" s="566"/>
      <c r="F554" s="563"/>
      <c r="G554" s="564"/>
      <c r="H554" s="565"/>
      <c r="I554" s="559"/>
      <c r="J554" s="313"/>
      <c r="K554" s="560"/>
      <c r="L554" s="561" t="s">
        <v>1316</v>
      </c>
      <c r="M554" s="145"/>
      <c r="N554" s="155"/>
    </row>
    <row r="555" spans="1:14" s="7" customFormat="1" ht="127.5" x14ac:dyDescent="0.25">
      <c r="A555" s="278" t="s">
        <v>1317</v>
      </c>
      <c r="B555" s="145"/>
      <c r="C555" s="394"/>
      <c r="D555" s="145" t="s">
        <v>1318</v>
      </c>
      <c r="E555" s="278" t="s">
        <v>1319</v>
      </c>
      <c r="F555" s="567"/>
      <c r="G555" s="568"/>
      <c r="H555" s="569"/>
      <c r="I555" s="559"/>
      <c r="J555" s="313"/>
      <c r="K555" s="560"/>
      <c r="L555" s="512" t="s">
        <v>1320</v>
      </c>
      <c r="M555" s="145"/>
      <c r="N555" s="168"/>
    </row>
    <row r="556" spans="1:14" s="7" customFormat="1" ht="178.5" x14ac:dyDescent="0.25">
      <c r="A556" s="278" t="s">
        <v>1321</v>
      </c>
      <c r="B556" s="31" t="s">
        <v>777</v>
      </c>
      <c r="C556" s="394"/>
      <c r="D556" s="145" t="s">
        <v>1322</v>
      </c>
      <c r="E556" s="145" t="s">
        <v>904</v>
      </c>
      <c r="F556" s="391" t="s">
        <v>1263</v>
      </c>
      <c r="G556" s="392" t="s">
        <v>388</v>
      </c>
      <c r="H556" s="284" t="s">
        <v>199</v>
      </c>
      <c r="I556" s="427">
        <v>200000</v>
      </c>
      <c r="J556" s="15" t="s">
        <v>875</v>
      </c>
      <c r="K556" s="280" t="s">
        <v>848</v>
      </c>
      <c r="L556" s="278" t="s">
        <v>1323</v>
      </c>
      <c r="M556" s="145"/>
      <c r="N556" s="145" t="s">
        <v>1324</v>
      </c>
    </row>
    <row r="557" spans="1:14" s="7" customFormat="1" ht="369.75" x14ac:dyDescent="0.25">
      <c r="A557" s="278" t="s">
        <v>1325</v>
      </c>
      <c r="B557" s="31" t="s">
        <v>777</v>
      </c>
      <c r="C557" s="278" t="s">
        <v>1326</v>
      </c>
      <c r="D557" s="145" t="s">
        <v>1327</v>
      </c>
      <c r="E557" s="278" t="s">
        <v>904</v>
      </c>
      <c r="F557" s="391" t="s">
        <v>1263</v>
      </c>
      <c r="G557" s="392" t="s">
        <v>388</v>
      </c>
      <c r="H557" s="284" t="s">
        <v>199</v>
      </c>
      <c r="I557" s="427">
        <v>640000</v>
      </c>
      <c r="J557" s="15" t="s">
        <v>875</v>
      </c>
      <c r="K557" s="280" t="s">
        <v>848</v>
      </c>
      <c r="L557" s="278" t="s">
        <v>1328</v>
      </c>
      <c r="M557" s="145"/>
      <c r="N557" s="145" t="s">
        <v>1329</v>
      </c>
    </row>
    <row r="558" spans="1:14" s="7" customFormat="1" ht="102" x14ac:dyDescent="0.25">
      <c r="A558" s="278" t="s">
        <v>1330</v>
      </c>
      <c r="B558" s="31" t="s">
        <v>777</v>
      </c>
      <c r="C558" s="145" t="s">
        <v>1331</v>
      </c>
      <c r="D558" s="145" t="s">
        <v>1332</v>
      </c>
      <c r="E558" s="278" t="s">
        <v>904</v>
      </c>
      <c r="F558" s="391" t="s">
        <v>1263</v>
      </c>
      <c r="G558" s="392" t="s">
        <v>388</v>
      </c>
      <c r="H558" s="284" t="s">
        <v>199</v>
      </c>
      <c r="I558" s="427">
        <v>50000</v>
      </c>
      <c r="J558" s="15" t="s">
        <v>875</v>
      </c>
      <c r="K558" s="280" t="s">
        <v>848</v>
      </c>
      <c r="L558" s="278" t="s">
        <v>1333</v>
      </c>
      <c r="M558" s="145"/>
      <c r="N558" s="145" t="s">
        <v>1334</v>
      </c>
    </row>
    <row r="559" spans="1:14" s="7" customFormat="1" ht="89.25" x14ac:dyDescent="0.25">
      <c r="A559" s="278" t="s">
        <v>1335</v>
      </c>
      <c r="B559" s="31" t="s">
        <v>777</v>
      </c>
      <c r="C559" s="153" t="s">
        <v>1336</v>
      </c>
      <c r="D559" s="145" t="s">
        <v>1337</v>
      </c>
      <c r="E559" s="278" t="s">
        <v>904</v>
      </c>
      <c r="F559" s="570" t="s">
        <v>1263</v>
      </c>
      <c r="G559" s="557" t="s">
        <v>388</v>
      </c>
      <c r="H559" s="558" t="s">
        <v>199</v>
      </c>
      <c r="I559" s="559">
        <v>200000</v>
      </c>
      <c r="J559" s="313" t="s">
        <v>875</v>
      </c>
      <c r="K559" s="560" t="s">
        <v>848</v>
      </c>
      <c r="L559" s="512" t="s">
        <v>1338</v>
      </c>
      <c r="M559" s="145"/>
      <c r="N559" s="153" t="s">
        <v>1339</v>
      </c>
    </row>
    <row r="560" spans="1:14" s="7" customFormat="1" ht="38.25" x14ac:dyDescent="0.25">
      <c r="A560" s="278" t="s">
        <v>1340</v>
      </c>
      <c r="B560" s="31" t="s">
        <v>777</v>
      </c>
      <c r="C560" s="168"/>
      <c r="D560" s="145" t="s">
        <v>1341</v>
      </c>
      <c r="E560" s="278" t="s">
        <v>1342</v>
      </c>
      <c r="F560" s="571"/>
      <c r="G560" s="568"/>
      <c r="H560" s="569"/>
      <c r="I560" s="559"/>
      <c r="J560" s="313"/>
      <c r="K560" s="560"/>
      <c r="L560" s="512" t="s">
        <v>1341</v>
      </c>
      <c r="M560" s="145"/>
      <c r="N560" s="168"/>
    </row>
    <row r="561" spans="1:14" s="7" customFormat="1" ht="15.75" x14ac:dyDescent="0.25">
      <c r="A561" s="572" t="s">
        <v>1234</v>
      </c>
      <c r="B561" s="573"/>
      <c r="C561" s="573"/>
      <c r="D561" s="573"/>
      <c r="E561" s="573"/>
      <c r="F561" s="573"/>
      <c r="G561" s="573"/>
      <c r="H561" s="573"/>
      <c r="I561" s="573"/>
      <c r="J561" s="573"/>
      <c r="K561" s="573"/>
      <c r="L561" s="573"/>
      <c r="M561" s="573"/>
      <c r="N561" s="574"/>
    </row>
    <row r="562" spans="1:14" s="7" customFormat="1" ht="38.25" x14ac:dyDescent="0.25">
      <c r="A562" s="278" t="s">
        <v>1343</v>
      </c>
      <c r="B562" s="31" t="s">
        <v>777</v>
      </c>
      <c r="C562" s="278"/>
      <c r="D562" s="280"/>
      <c r="E562" s="278"/>
      <c r="F562" s="391"/>
      <c r="G562" s="392"/>
      <c r="H562" s="142"/>
      <c r="I562" s="392"/>
      <c r="J562" s="123"/>
      <c r="K562" s="145"/>
      <c r="L562" s="393"/>
      <c r="M562" s="145"/>
      <c r="N562" s="145"/>
    </row>
    <row r="563" spans="1:14" s="7" customFormat="1" ht="38.25" x14ac:dyDescent="0.25">
      <c r="A563" s="278" t="s">
        <v>1344</v>
      </c>
      <c r="B563" s="31" t="s">
        <v>777</v>
      </c>
      <c r="C563" s="278"/>
      <c r="D563" s="280"/>
      <c r="E563" s="278"/>
      <c r="F563" s="391"/>
      <c r="G563" s="392"/>
      <c r="H563" s="142"/>
      <c r="I563" s="392"/>
      <c r="J563" s="123"/>
      <c r="K563" s="145"/>
      <c r="L563" s="393"/>
      <c r="M563" s="145"/>
      <c r="N563" s="145"/>
    </row>
    <row r="564" spans="1:14" s="7" customFormat="1" ht="63.75" x14ac:dyDescent="0.25">
      <c r="A564" s="278" t="s">
        <v>1345</v>
      </c>
      <c r="B564" s="145"/>
      <c r="C564" s="394" t="s">
        <v>1307</v>
      </c>
      <c r="D564" s="145" t="s">
        <v>1308</v>
      </c>
      <c r="E564" s="560"/>
      <c r="F564" s="391"/>
      <c r="G564" s="392"/>
      <c r="H564" s="558" t="s">
        <v>199</v>
      </c>
      <c r="I564" s="570">
        <v>500000</v>
      </c>
      <c r="J564" s="313" t="s">
        <v>656</v>
      </c>
      <c r="K564" s="560" t="s">
        <v>657</v>
      </c>
      <c r="L564" s="393"/>
      <c r="M564" s="145"/>
      <c r="N564" s="145"/>
    </row>
    <row r="565" spans="1:14" s="7" customFormat="1" ht="63.75" x14ac:dyDescent="0.25">
      <c r="A565" s="278" t="s">
        <v>1346</v>
      </c>
      <c r="B565" s="145"/>
      <c r="C565" s="394"/>
      <c r="D565" s="145" t="s">
        <v>1347</v>
      </c>
      <c r="E565" s="560"/>
      <c r="F565" s="391"/>
      <c r="G565" s="392"/>
      <c r="H565" s="565"/>
      <c r="I565" s="575"/>
      <c r="J565" s="313"/>
      <c r="K565" s="560"/>
      <c r="L565" s="393"/>
      <c r="M565" s="145"/>
      <c r="N565" s="145"/>
    </row>
    <row r="566" spans="1:14" s="7" customFormat="1" ht="25.5" x14ac:dyDescent="0.25">
      <c r="A566" s="278" t="s">
        <v>1348</v>
      </c>
      <c r="B566" s="145"/>
      <c r="C566" s="394"/>
      <c r="D566" s="145" t="s">
        <v>1315</v>
      </c>
      <c r="E566" s="560"/>
      <c r="F566" s="391"/>
      <c r="G566" s="392"/>
      <c r="H566" s="565"/>
      <c r="I566" s="571"/>
      <c r="J566" s="313"/>
      <c r="K566" s="560"/>
      <c r="L566" s="393"/>
      <c r="M566" s="145"/>
      <c r="N566" s="145"/>
    </row>
    <row r="567" spans="1:14" s="7" customFormat="1" ht="89.25" x14ac:dyDescent="0.25">
      <c r="A567" s="278" t="s">
        <v>1349</v>
      </c>
      <c r="B567" s="145"/>
      <c r="C567" s="278"/>
      <c r="D567" s="145" t="s">
        <v>1327</v>
      </c>
      <c r="E567" s="278"/>
      <c r="F567" s="391"/>
      <c r="G567" s="392"/>
      <c r="H567" s="284" t="s">
        <v>199</v>
      </c>
      <c r="I567" s="576">
        <v>400000</v>
      </c>
      <c r="J567" s="15" t="s">
        <v>656</v>
      </c>
      <c r="K567" s="280" t="s">
        <v>657</v>
      </c>
      <c r="L567" s="393"/>
      <c r="M567" s="145"/>
      <c r="N567" s="145"/>
    </row>
    <row r="568" spans="1:14" s="7" customFormat="1" ht="51" x14ac:dyDescent="0.25">
      <c r="A568" s="278" t="s">
        <v>1350</v>
      </c>
      <c r="B568" s="145"/>
      <c r="C568" s="145"/>
      <c r="D568" s="145" t="s">
        <v>1332</v>
      </c>
      <c r="E568" s="278"/>
      <c r="F568" s="391"/>
      <c r="G568" s="392"/>
      <c r="H568" s="284" t="s">
        <v>199</v>
      </c>
      <c r="I568" s="576">
        <v>100000</v>
      </c>
      <c r="J568" s="15" t="s">
        <v>656</v>
      </c>
      <c r="K568" s="280" t="s">
        <v>657</v>
      </c>
      <c r="L568" s="393"/>
      <c r="M568" s="145"/>
      <c r="N568" s="145"/>
    </row>
    <row r="569" spans="1:14" s="7" customFormat="1" ht="63.75" x14ac:dyDescent="0.25">
      <c r="A569" s="278" t="s">
        <v>1351</v>
      </c>
      <c r="B569" s="145"/>
      <c r="C569" s="153"/>
      <c r="D569" s="145" t="s">
        <v>1337</v>
      </c>
      <c r="E569" s="278"/>
      <c r="F569" s="391"/>
      <c r="G569" s="392"/>
      <c r="H569" s="558" t="s">
        <v>199</v>
      </c>
      <c r="I569" s="577">
        <v>200000</v>
      </c>
      <c r="J569" s="313" t="s">
        <v>656</v>
      </c>
      <c r="K569" s="560" t="s">
        <v>657</v>
      </c>
      <c r="L569" s="393"/>
      <c r="M569" s="145"/>
      <c r="N569" s="145"/>
    </row>
    <row r="570" spans="1:14" s="7" customFormat="1" ht="38.25" x14ac:dyDescent="0.25">
      <c r="A570" s="278" t="s">
        <v>1352</v>
      </c>
      <c r="B570" s="145"/>
      <c r="C570" s="168"/>
      <c r="D570" s="145" t="s">
        <v>1341</v>
      </c>
      <c r="E570" s="278"/>
      <c r="F570" s="391"/>
      <c r="G570" s="392"/>
      <c r="H570" s="569"/>
      <c r="I570" s="577"/>
      <c r="J570" s="313"/>
      <c r="K570" s="560"/>
      <c r="L570" s="393"/>
      <c r="M570" s="145"/>
      <c r="N570" s="145"/>
    </row>
    <row r="571" spans="1:14" s="7" customFormat="1" ht="15.75" x14ac:dyDescent="0.25">
      <c r="A571" s="480" t="s">
        <v>1353</v>
      </c>
      <c r="B571" s="481"/>
      <c r="C571" s="481"/>
      <c r="D571" s="481"/>
      <c r="E571" s="481"/>
      <c r="F571" s="481"/>
      <c r="G571" s="481"/>
      <c r="H571" s="481"/>
      <c r="I571" s="481"/>
      <c r="J571" s="481"/>
      <c r="K571" s="481"/>
      <c r="L571" s="481"/>
      <c r="M571" s="481"/>
      <c r="N571" s="482"/>
    </row>
    <row r="572" spans="1:14" s="7" customFormat="1" ht="15.75" x14ac:dyDescent="0.25">
      <c r="A572" s="466" t="s">
        <v>1354</v>
      </c>
      <c r="B572" s="467"/>
      <c r="C572" s="467"/>
      <c r="D572" s="467"/>
      <c r="E572" s="467"/>
      <c r="F572" s="467"/>
      <c r="G572" s="467"/>
      <c r="H572" s="467"/>
      <c r="I572" s="467"/>
      <c r="J572" s="467"/>
      <c r="K572" s="467"/>
      <c r="L572" s="467"/>
      <c r="M572" s="467"/>
      <c r="N572" s="468"/>
    </row>
    <row r="573" spans="1:14" s="7" customFormat="1" ht="165.75" x14ac:dyDescent="0.25">
      <c r="A573" s="278" t="s">
        <v>1355</v>
      </c>
      <c r="B573" s="31" t="s">
        <v>777</v>
      </c>
      <c r="C573" s="278" t="s">
        <v>1356</v>
      </c>
      <c r="D573" s="145"/>
      <c r="E573" s="278" t="s">
        <v>1179</v>
      </c>
      <c r="F573" s="18" t="s">
        <v>1357</v>
      </c>
      <c r="G573" s="18" t="s">
        <v>388</v>
      </c>
      <c r="H573" s="18" t="s">
        <v>244</v>
      </c>
      <c r="I573" s="578">
        <v>31470550</v>
      </c>
      <c r="J573" s="18" t="s">
        <v>1358</v>
      </c>
      <c r="K573" s="18" t="s">
        <v>1359</v>
      </c>
      <c r="L573" s="18" t="s">
        <v>1360</v>
      </c>
      <c r="M573" s="18" t="s">
        <v>1361</v>
      </c>
      <c r="N573" s="18" t="s">
        <v>1362</v>
      </c>
    </row>
    <row r="574" spans="1:14" s="7" customFormat="1" ht="15.75" x14ac:dyDescent="0.25">
      <c r="A574" s="466" t="s">
        <v>913</v>
      </c>
      <c r="B574" s="467"/>
      <c r="C574" s="467"/>
      <c r="D574" s="467"/>
      <c r="E574" s="467"/>
      <c r="F574" s="467"/>
      <c r="G574" s="467"/>
      <c r="H574" s="467"/>
      <c r="I574" s="467"/>
      <c r="J574" s="467"/>
      <c r="K574" s="467"/>
      <c r="L574" s="467"/>
      <c r="M574" s="467"/>
      <c r="N574" s="468"/>
    </row>
    <row r="575" spans="1:14" s="7" customFormat="1" ht="89.25" x14ac:dyDescent="0.25">
      <c r="A575" s="278" t="s">
        <v>1355</v>
      </c>
      <c r="B575" s="31" t="s">
        <v>777</v>
      </c>
      <c r="C575" s="278" t="s">
        <v>1363</v>
      </c>
      <c r="D575" s="145" t="s">
        <v>1364</v>
      </c>
      <c r="E575" s="278"/>
      <c r="F575" s="570" t="s">
        <v>1263</v>
      </c>
      <c r="G575" s="557" t="s">
        <v>388</v>
      </c>
      <c r="H575" s="558" t="s">
        <v>199</v>
      </c>
      <c r="I575" s="570">
        <v>29092000</v>
      </c>
      <c r="J575" s="295" t="s">
        <v>875</v>
      </c>
      <c r="K575" s="555" t="s">
        <v>848</v>
      </c>
      <c r="L575" s="558"/>
      <c r="M575" s="555"/>
      <c r="N575" s="153" t="s">
        <v>1365</v>
      </c>
    </row>
    <row r="576" spans="1:14" s="7" customFormat="1" ht="25.5" x14ac:dyDescent="0.25">
      <c r="A576" s="278"/>
      <c r="B576" s="145"/>
      <c r="C576" s="278"/>
      <c r="D576" s="145" t="s">
        <v>1366</v>
      </c>
      <c r="E576" s="278"/>
      <c r="F576" s="571"/>
      <c r="G576" s="564"/>
      <c r="H576" s="565"/>
      <c r="I576" s="571"/>
      <c r="J576" s="300"/>
      <c r="K576" s="566"/>
      <c r="L576" s="569"/>
      <c r="M576" s="566"/>
      <c r="N576" s="168"/>
    </row>
    <row r="577" spans="1:14" s="7" customFormat="1" ht="63.75" x14ac:dyDescent="0.25">
      <c r="A577" s="278"/>
      <c r="B577" s="145"/>
      <c r="C577" s="278"/>
      <c r="D577" s="145" t="s">
        <v>1367</v>
      </c>
      <c r="E577" s="278"/>
      <c r="F577" s="391"/>
      <c r="G577" s="568"/>
      <c r="H577" s="569"/>
      <c r="I577" s="579">
        <v>1200000</v>
      </c>
      <c r="J577" s="144" t="s">
        <v>847</v>
      </c>
      <c r="K577" s="341" t="s">
        <v>848</v>
      </c>
      <c r="L577" s="278" t="s">
        <v>1368</v>
      </c>
      <c r="M577" s="145" t="s">
        <v>1369</v>
      </c>
      <c r="N577" s="145"/>
    </row>
    <row r="578" spans="1:14" s="7" customFormat="1" ht="119.25" customHeight="1" x14ac:dyDescent="0.25">
      <c r="A578" s="278"/>
      <c r="B578" s="145"/>
      <c r="C578" s="278"/>
      <c r="D578" s="145" t="s">
        <v>1370</v>
      </c>
      <c r="E578" s="278" t="s">
        <v>1371</v>
      </c>
      <c r="F578" s="391" t="s">
        <v>1372</v>
      </c>
      <c r="G578" s="392" t="s">
        <v>388</v>
      </c>
      <c r="H578" s="284" t="s">
        <v>783</v>
      </c>
      <c r="I578" s="427">
        <v>20000000</v>
      </c>
      <c r="J578" s="580" t="s">
        <v>1373</v>
      </c>
      <c r="K578" s="280"/>
      <c r="L578" s="581">
        <v>0.62</v>
      </c>
      <c r="M578" s="576">
        <v>5774166.6200000001</v>
      </c>
      <c r="N578" s="145" t="s">
        <v>1374</v>
      </c>
    </row>
    <row r="579" spans="1:14" s="7" customFormat="1" ht="224.25" customHeight="1" x14ac:dyDescent="0.25">
      <c r="A579" s="278" t="s">
        <v>1375</v>
      </c>
      <c r="B579" s="31" t="s">
        <v>777</v>
      </c>
      <c r="C579" s="278" t="s">
        <v>1376</v>
      </c>
      <c r="D579" s="145" t="s">
        <v>1377</v>
      </c>
      <c r="E579" s="278" t="s">
        <v>1378</v>
      </c>
      <c r="F579" s="391"/>
      <c r="G579" s="557" t="s">
        <v>388</v>
      </c>
      <c r="H579" s="558" t="s">
        <v>199</v>
      </c>
      <c r="I579" s="579">
        <v>700000</v>
      </c>
      <c r="J579" s="144" t="s">
        <v>875</v>
      </c>
      <c r="K579" s="341" t="s">
        <v>848</v>
      </c>
      <c r="L579" s="393"/>
      <c r="M579" s="145"/>
      <c r="N579" s="278" t="s">
        <v>1379</v>
      </c>
    </row>
    <row r="580" spans="1:14" s="7" customFormat="1" ht="280.5" x14ac:dyDescent="0.25">
      <c r="A580" s="278"/>
      <c r="B580" s="145"/>
      <c r="C580" s="278"/>
      <c r="D580" s="145" t="s">
        <v>1380</v>
      </c>
      <c r="E580" s="278" t="s">
        <v>1381</v>
      </c>
      <c r="F580" s="391"/>
      <c r="G580" s="564"/>
      <c r="H580" s="565"/>
      <c r="I580" s="579">
        <v>300000</v>
      </c>
      <c r="J580" s="144" t="s">
        <v>875</v>
      </c>
      <c r="K580" s="341" t="s">
        <v>848</v>
      </c>
      <c r="L580" s="278" t="s">
        <v>1382</v>
      </c>
      <c r="M580" s="145"/>
      <c r="N580" s="145" t="s">
        <v>1383</v>
      </c>
    </row>
    <row r="581" spans="1:14" s="7" customFormat="1" ht="96" customHeight="1" x14ac:dyDescent="0.25">
      <c r="A581" s="278"/>
      <c r="B581" s="145"/>
      <c r="C581" s="278"/>
      <c r="D581" s="145" t="s">
        <v>1384</v>
      </c>
      <c r="E581" s="278" t="s">
        <v>1385</v>
      </c>
      <c r="F581" s="391"/>
      <c r="G581" s="564"/>
      <c r="H581" s="565"/>
      <c r="I581" s="579">
        <v>100000</v>
      </c>
      <c r="J581" s="144" t="s">
        <v>875</v>
      </c>
      <c r="K581" s="341" t="s">
        <v>848</v>
      </c>
      <c r="L581" s="561" t="s">
        <v>1386</v>
      </c>
      <c r="M581" s="145"/>
      <c r="N581" s="582" t="s">
        <v>1387</v>
      </c>
    </row>
    <row r="582" spans="1:14" s="7" customFormat="1" ht="97.5" customHeight="1" x14ac:dyDescent="0.25">
      <c r="A582" s="278"/>
      <c r="B582" s="145"/>
      <c r="C582" s="278"/>
      <c r="D582" s="145" t="s">
        <v>1388</v>
      </c>
      <c r="E582" s="278"/>
      <c r="F582" s="391"/>
      <c r="G582" s="568"/>
      <c r="H582" s="569"/>
      <c r="I582" s="427">
        <v>500000</v>
      </c>
      <c r="J582" s="15" t="s">
        <v>875</v>
      </c>
      <c r="K582" s="280" t="s">
        <v>848</v>
      </c>
      <c r="L582" s="542" t="s">
        <v>1389</v>
      </c>
      <c r="M582" s="145"/>
      <c r="N582" s="583" t="s">
        <v>1390</v>
      </c>
    </row>
    <row r="583" spans="1:14" s="7" customFormat="1" ht="209.25" customHeight="1" x14ac:dyDescent="0.25">
      <c r="A583" s="278" t="s">
        <v>1391</v>
      </c>
      <c r="B583" s="31" t="s">
        <v>777</v>
      </c>
      <c r="C583" s="278" t="s">
        <v>1392</v>
      </c>
      <c r="D583" s="145" t="s">
        <v>1393</v>
      </c>
      <c r="E583" s="278"/>
      <c r="F583" s="391"/>
      <c r="G583" s="557" t="s">
        <v>388</v>
      </c>
      <c r="H583" s="558" t="s">
        <v>199</v>
      </c>
      <c r="I583" s="584">
        <v>295000</v>
      </c>
      <c r="J583" s="295" t="s">
        <v>875</v>
      </c>
      <c r="K583" s="555" t="s">
        <v>848</v>
      </c>
      <c r="L583" s="393"/>
      <c r="M583" s="145"/>
      <c r="N583" s="397" t="s">
        <v>1394</v>
      </c>
    </row>
    <row r="584" spans="1:14" s="7" customFormat="1" ht="216.75" x14ac:dyDescent="0.25">
      <c r="A584" s="278"/>
      <c r="B584" s="145"/>
      <c r="C584" s="278"/>
      <c r="D584" s="145" t="s">
        <v>1395</v>
      </c>
      <c r="E584" s="278"/>
      <c r="F584" s="391"/>
      <c r="G584" s="564"/>
      <c r="H584" s="565"/>
      <c r="I584" s="584">
        <v>1200000</v>
      </c>
      <c r="J584" s="297"/>
      <c r="K584" s="562"/>
      <c r="L584" s="393"/>
      <c r="M584" s="145"/>
      <c r="N584" s="582" t="s">
        <v>1396</v>
      </c>
    </row>
    <row r="585" spans="1:14" s="7" customFormat="1" ht="95.25" customHeight="1" x14ac:dyDescent="0.25">
      <c r="A585" s="278"/>
      <c r="B585" s="145"/>
      <c r="C585" s="278"/>
      <c r="D585" s="145" t="s">
        <v>1397</v>
      </c>
      <c r="E585" s="278" t="s">
        <v>1398</v>
      </c>
      <c r="F585" s="278" t="s">
        <v>1399</v>
      </c>
      <c r="G585" s="585"/>
      <c r="H585" s="586"/>
      <c r="I585" s="584">
        <v>500000</v>
      </c>
      <c r="J585" s="587"/>
      <c r="K585" s="588"/>
      <c r="L585" s="278" t="s">
        <v>1400</v>
      </c>
      <c r="M585" s="145"/>
      <c r="N585" s="582" t="s">
        <v>1401</v>
      </c>
    </row>
    <row r="586" spans="1:14" s="7" customFormat="1" ht="57.75" customHeight="1" x14ac:dyDescent="0.25">
      <c r="A586" s="355" t="s">
        <v>1402</v>
      </c>
      <c r="B586" s="356" t="s">
        <v>777</v>
      </c>
      <c r="C586" s="355" t="s">
        <v>1403</v>
      </c>
      <c r="D586" s="356"/>
      <c r="E586" s="355"/>
      <c r="F586" s="355"/>
      <c r="G586" s="357"/>
      <c r="H586" s="357"/>
      <c r="I586" s="589"/>
      <c r="J586" s="357"/>
      <c r="K586" s="357"/>
      <c r="L586" s="357"/>
      <c r="M586" s="355"/>
      <c r="N586" s="355"/>
    </row>
    <row r="587" spans="1:14" s="7" customFormat="1" ht="70.5" customHeight="1" x14ac:dyDescent="0.2">
      <c r="A587" s="355" t="s">
        <v>1404</v>
      </c>
      <c r="B587" s="357"/>
      <c r="C587" s="590"/>
      <c r="D587" s="355" t="s">
        <v>1405</v>
      </c>
      <c r="E587" s="355" t="s">
        <v>1406</v>
      </c>
      <c r="F587" s="355" t="s">
        <v>1407</v>
      </c>
      <c r="G587" s="357" t="s">
        <v>882</v>
      </c>
      <c r="H587" s="357" t="s">
        <v>920</v>
      </c>
      <c r="I587" s="359">
        <v>400000</v>
      </c>
      <c r="J587" s="360" t="s">
        <v>921</v>
      </c>
      <c r="K587" s="360" t="s">
        <v>657</v>
      </c>
      <c r="L587" s="357"/>
      <c r="M587" s="355"/>
      <c r="N587" s="355" t="s">
        <v>1408</v>
      </c>
    </row>
    <row r="588" spans="1:14" s="7" customFormat="1" ht="247.5" customHeight="1" x14ac:dyDescent="0.2">
      <c r="A588" s="355"/>
      <c r="B588" s="368"/>
      <c r="C588" s="590"/>
      <c r="D588" s="355" t="s">
        <v>1409</v>
      </c>
      <c r="E588" s="355" t="s">
        <v>1410</v>
      </c>
      <c r="F588" s="355" t="s">
        <v>1411</v>
      </c>
      <c r="G588" s="357" t="s">
        <v>882</v>
      </c>
      <c r="H588" s="357" t="s">
        <v>920</v>
      </c>
      <c r="I588" s="359">
        <v>2000000</v>
      </c>
      <c r="J588" s="360" t="s">
        <v>921</v>
      </c>
      <c r="K588" s="360" t="s">
        <v>922</v>
      </c>
      <c r="L588" s="356" t="s">
        <v>1409</v>
      </c>
      <c r="M588" s="355"/>
      <c r="N588" s="355" t="s">
        <v>1412</v>
      </c>
    </row>
    <row r="589" spans="1:14" s="7" customFormat="1" ht="133.5" customHeight="1" x14ac:dyDescent="0.2">
      <c r="A589" s="355"/>
      <c r="B589" s="591"/>
      <c r="C589" s="592"/>
      <c r="D589" s="356" t="s">
        <v>1413</v>
      </c>
      <c r="E589" s="355" t="s">
        <v>1414</v>
      </c>
      <c r="F589" s="355" t="s">
        <v>1411</v>
      </c>
      <c r="G589" s="357" t="s">
        <v>882</v>
      </c>
      <c r="H589" s="357" t="s">
        <v>920</v>
      </c>
      <c r="I589" s="359">
        <v>100000</v>
      </c>
      <c r="J589" s="360" t="s">
        <v>921</v>
      </c>
      <c r="K589" s="360" t="s">
        <v>922</v>
      </c>
      <c r="L589" s="357"/>
      <c r="M589" s="355"/>
      <c r="N589" s="355" t="s">
        <v>1415</v>
      </c>
    </row>
    <row r="590" spans="1:14" s="7" customFormat="1" ht="114.75" x14ac:dyDescent="0.25">
      <c r="A590" s="355" t="s">
        <v>1416</v>
      </c>
      <c r="B590" s="356" t="s">
        <v>777</v>
      </c>
      <c r="C590" s="358"/>
      <c r="D590" s="356" t="s">
        <v>1417</v>
      </c>
      <c r="E590" s="355" t="s">
        <v>1418</v>
      </c>
      <c r="F590" s="355" t="s">
        <v>1419</v>
      </c>
      <c r="G590" s="357" t="s">
        <v>882</v>
      </c>
      <c r="H590" s="357" t="s">
        <v>920</v>
      </c>
      <c r="I590" s="359">
        <v>450000</v>
      </c>
      <c r="J590" s="360" t="s">
        <v>921</v>
      </c>
      <c r="K590" s="360" t="s">
        <v>922</v>
      </c>
      <c r="L590" s="356" t="s">
        <v>1420</v>
      </c>
      <c r="M590" s="359">
        <v>188532</v>
      </c>
      <c r="N590" s="355" t="s">
        <v>1421</v>
      </c>
    </row>
    <row r="591" spans="1:14" s="7" customFormat="1" ht="89.25" x14ac:dyDescent="0.25">
      <c r="A591" s="355" t="s">
        <v>1422</v>
      </c>
      <c r="B591" s="356" t="s">
        <v>777</v>
      </c>
      <c r="C591" s="592"/>
      <c r="D591" s="356" t="s">
        <v>1423</v>
      </c>
      <c r="E591" s="355" t="s">
        <v>1423</v>
      </c>
      <c r="F591" s="355"/>
      <c r="G591" s="357" t="s">
        <v>882</v>
      </c>
      <c r="H591" s="357" t="s">
        <v>920</v>
      </c>
      <c r="I591" s="359">
        <v>217000</v>
      </c>
      <c r="J591" s="360" t="s">
        <v>921</v>
      </c>
      <c r="K591" s="360" t="s">
        <v>922</v>
      </c>
      <c r="L591" s="357"/>
      <c r="M591" s="359">
        <v>215000</v>
      </c>
      <c r="N591" s="355"/>
    </row>
    <row r="592" spans="1:14" s="7" customFormat="1" ht="15.75" x14ac:dyDescent="0.25">
      <c r="A592" s="466" t="s">
        <v>775</v>
      </c>
      <c r="B592" s="467"/>
      <c r="C592" s="467"/>
      <c r="D592" s="467"/>
      <c r="E592" s="467"/>
      <c r="F592" s="467"/>
      <c r="G592" s="467"/>
      <c r="H592" s="467"/>
      <c r="I592" s="467"/>
      <c r="J592" s="467"/>
      <c r="K592" s="467"/>
      <c r="L592" s="467"/>
      <c r="M592" s="467"/>
      <c r="N592" s="468"/>
    </row>
    <row r="593" spans="1:14" s="7" customFormat="1" ht="144.75" customHeight="1" x14ac:dyDescent="0.25">
      <c r="A593" s="11" t="s">
        <v>776</v>
      </c>
      <c r="B593" s="356" t="s">
        <v>777</v>
      </c>
      <c r="C593" s="11" t="s">
        <v>778</v>
      </c>
      <c r="D593" s="123" t="s">
        <v>779</v>
      </c>
      <c r="E593" s="11"/>
      <c r="F593" s="407"/>
      <c r="G593" s="408"/>
      <c r="H593" s="274" t="s">
        <v>244</v>
      </c>
      <c r="I593" s="593" t="s">
        <v>780</v>
      </c>
      <c r="J593" s="123" t="s">
        <v>656</v>
      </c>
      <c r="K593" s="123" t="s">
        <v>657</v>
      </c>
      <c r="L593" s="273"/>
      <c r="M593" s="123"/>
      <c r="N593" s="123"/>
    </row>
    <row r="594" spans="1:14" s="7" customFormat="1" ht="30" customHeight="1" x14ac:dyDescent="0.25">
      <c r="A594" s="11" t="s">
        <v>781</v>
      </c>
      <c r="B594" s="123"/>
      <c r="C594" s="11"/>
      <c r="D594" s="123" t="s">
        <v>782</v>
      </c>
      <c r="E594" s="11"/>
      <c r="F594" s="407"/>
      <c r="G594" s="408"/>
      <c r="H594" s="274" t="s">
        <v>783</v>
      </c>
      <c r="I594" s="439">
        <v>10000000</v>
      </c>
      <c r="J594" s="123" t="s">
        <v>656</v>
      </c>
      <c r="K594" s="123" t="s">
        <v>657</v>
      </c>
      <c r="L594" s="273"/>
      <c r="M594" s="123"/>
      <c r="N594" s="123"/>
    </row>
    <row r="595" spans="1:14" s="7" customFormat="1" ht="32.25" customHeight="1" x14ac:dyDescent="0.25">
      <c r="A595" s="11" t="s">
        <v>784</v>
      </c>
      <c r="B595" s="123"/>
      <c r="C595" s="11"/>
      <c r="D595" s="15" t="s">
        <v>785</v>
      </c>
      <c r="E595" s="11"/>
      <c r="F595" s="407"/>
      <c r="G595" s="408"/>
      <c r="H595" s="274" t="s">
        <v>783</v>
      </c>
      <c r="I595" s="439">
        <v>5000000</v>
      </c>
      <c r="J595" s="123" t="s">
        <v>656</v>
      </c>
      <c r="K595" s="123" t="s">
        <v>657</v>
      </c>
      <c r="L595" s="273"/>
      <c r="M595" s="123"/>
      <c r="N595" s="123"/>
    </row>
    <row r="596" spans="1:14" s="7" customFormat="1" ht="72.75" customHeight="1" x14ac:dyDescent="0.25">
      <c r="A596" s="11" t="s">
        <v>786</v>
      </c>
      <c r="B596" s="123"/>
      <c r="C596" s="11"/>
      <c r="D596" s="123" t="s">
        <v>787</v>
      </c>
      <c r="E596" s="11"/>
      <c r="F596" s="407"/>
      <c r="G596" s="408"/>
      <c r="H596" s="274" t="s">
        <v>783</v>
      </c>
      <c r="I596" s="439">
        <v>2500000</v>
      </c>
      <c r="J596" s="123" t="s">
        <v>656</v>
      </c>
      <c r="K596" s="123" t="s">
        <v>657</v>
      </c>
      <c r="L596" s="273"/>
      <c r="M596" s="123"/>
      <c r="N596" s="123"/>
    </row>
    <row r="597" spans="1:14" s="7" customFormat="1" ht="81.75" customHeight="1" x14ac:dyDescent="0.25">
      <c r="A597" s="11" t="s">
        <v>788</v>
      </c>
      <c r="B597" s="123" t="s">
        <v>777</v>
      </c>
      <c r="C597" s="11" t="s">
        <v>789</v>
      </c>
      <c r="D597" s="11" t="s">
        <v>790</v>
      </c>
      <c r="E597" s="11" t="s">
        <v>791</v>
      </c>
      <c r="F597" s="407"/>
      <c r="G597" s="408"/>
      <c r="H597" s="274" t="s">
        <v>199</v>
      </c>
      <c r="I597" s="408" t="s">
        <v>792</v>
      </c>
      <c r="J597" s="123" t="s">
        <v>793</v>
      </c>
      <c r="K597" s="123" t="s">
        <v>794</v>
      </c>
      <c r="L597" s="273"/>
      <c r="M597" s="123"/>
      <c r="N597" s="123"/>
    </row>
    <row r="598" spans="1:14" s="7" customFormat="1" ht="106.5" customHeight="1" x14ac:dyDescent="0.25">
      <c r="A598" s="11" t="s">
        <v>795</v>
      </c>
      <c r="B598" s="123" t="s">
        <v>777</v>
      </c>
      <c r="C598" s="11" t="s">
        <v>796</v>
      </c>
      <c r="D598" s="11" t="s">
        <v>797</v>
      </c>
      <c r="E598" s="11"/>
      <c r="F598" s="407"/>
      <c r="G598" s="408"/>
      <c r="H598" s="274" t="s">
        <v>199</v>
      </c>
      <c r="I598" s="408" t="s">
        <v>798</v>
      </c>
      <c r="J598" s="123" t="s">
        <v>793</v>
      </c>
      <c r="K598" s="123" t="s">
        <v>794</v>
      </c>
      <c r="L598" s="273"/>
      <c r="M598" s="123"/>
      <c r="N598" s="123"/>
    </row>
    <row r="599" spans="1:14" s="7" customFormat="1" ht="122.25" customHeight="1" x14ac:dyDescent="0.25">
      <c r="A599" s="11" t="s">
        <v>799</v>
      </c>
      <c r="B599" s="123" t="s">
        <v>777</v>
      </c>
      <c r="C599" s="11" t="s">
        <v>800</v>
      </c>
      <c r="D599" s="11" t="s">
        <v>801</v>
      </c>
      <c r="E599" s="11"/>
      <c r="F599" s="407"/>
      <c r="G599" s="408"/>
      <c r="H599" s="274" t="s">
        <v>199</v>
      </c>
      <c r="I599" s="408" t="s">
        <v>802</v>
      </c>
      <c r="J599" s="123" t="s">
        <v>793</v>
      </c>
      <c r="K599" s="123" t="s">
        <v>794</v>
      </c>
      <c r="L599" s="273"/>
      <c r="M599" s="123"/>
      <c r="N599" s="123"/>
    </row>
    <row r="600" spans="1:14" s="7" customFormat="1" ht="172.5" customHeight="1" x14ac:dyDescent="0.25">
      <c r="A600" s="11" t="s">
        <v>803</v>
      </c>
      <c r="B600" s="123" t="s">
        <v>777</v>
      </c>
      <c r="C600" s="11" t="s">
        <v>804</v>
      </c>
      <c r="D600" s="11" t="s">
        <v>805</v>
      </c>
      <c r="E600" s="11"/>
      <c r="F600" s="407"/>
      <c r="G600" s="408"/>
      <c r="H600" s="274" t="s">
        <v>199</v>
      </c>
      <c r="I600" s="408" t="s">
        <v>806</v>
      </c>
      <c r="J600" s="123" t="s">
        <v>793</v>
      </c>
      <c r="K600" s="123" t="s">
        <v>794</v>
      </c>
      <c r="L600" s="273"/>
      <c r="M600" s="123"/>
      <c r="N600" s="123"/>
    </row>
    <row r="601" spans="1:14" s="7" customFormat="1" ht="159" customHeight="1" x14ac:dyDescent="0.25">
      <c r="A601" s="11" t="s">
        <v>807</v>
      </c>
      <c r="B601" s="123" t="s">
        <v>777</v>
      </c>
      <c r="C601" s="11" t="s">
        <v>808</v>
      </c>
      <c r="D601" s="11" t="s">
        <v>809</v>
      </c>
      <c r="E601" s="11" t="s">
        <v>810</v>
      </c>
      <c r="F601" s="407"/>
      <c r="G601" s="408"/>
      <c r="H601" s="274" t="s">
        <v>199</v>
      </c>
      <c r="I601" s="408" t="s">
        <v>811</v>
      </c>
      <c r="J601" s="123" t="s">
        <v>793</v>
      </c>
      <c r="K601" s="123" t="s">
        <v>794</v>
      </c>
      <c r="L601" s="273"/>
      <c r="M601" s="123"/>
      <c r="N601" s="123"/>
    </row>
    <row r="602" spans="1:14" s="7" customFormat="1" ht="38.25" x14ac:dyDescent="0.25">
      <c r="A602" s="356" t="s">
        <v>812</v>
      </c>
      <c r="B602" s="356" t="s">
        <v>777</v>
      </c>
      <c r="C602" s="594" t="s">
        <v>813</v>
      </c>
      <c r="D602" s="356"/>
      <c r="E602" s="355"/>
      <c r="F602" s="364"/>
      <c r="G602" s="368"/>
      <c r="H602" s="357"/>
      <c r="I602" s="595"/>
      <c r="J602" s="378"/>
      <c r="K602" s="378"/>
      <c r="L602" s="368"/>
      <c r="M602" s="364"/>
      <c r="N602" s="364"/>
    </row>
    <row r="603" spans="1:14" s="7" customFormat="1" ht="38.25" x14ac:dyDescent="0.25">
      <c r="A603" s="356" t="s">
        <v>814</v>
      </c>
      <c r="B603" s="356" t="s">
        <v>777</v>
      </c>
      <c r="C603" s="596"/>
      <c r="D603" s="356" t="s">
        <v>815</v>
      </c>
      <c r="E603" s="355" t="s">
        <v>816</v>
      </c>
      <c r="F603" s="364"/>
      <c r="G603" s="368"/>
      <c r="H603" s="368" t="s">
        <v>817</v>
      </c>
      <c r="I603" s="597">
        <v>5500000</v>
      </c>
      <c r="J603" s="380" t="s">
        <v>818</v>
      </c>
      <c r="K603" s="380" t="s">
        <v>819</v>
      </c>
      <c r="L603" s="368"/>
      <c r="M603" s="364"/>
      <c r="N603" s="364"/>
    </row>
    <row r="604" spans="1:14" s="7" customFormat="1" ht="42.75" customHeight="1" x14ac:dyDescent="0.25">
      <c r="A604" s="356"/>
      <c r="B604" s="383"/>
      <c r="C604" s="596"/>
      <c r="D604" s="356" t="s">
        <v>820</v>
      </c>
      <c r="E604" s="355" t="s">
        <v>821</v>
      </c>
      <c r="F604" s="364"/>
      <c r="G604" s="368"/>
      <c r="H604" s="368" t="s">
        <v>817</v>
      </c>
      <c r="I604" s="597">
        <v>4000000</v>
      </c>
      <c r="J604" s="380" t="s">
        <v>818</v>
      </c>
      <c r="K604" s="380" t="s">
        <v>819</v>
      </c>
      <c r="L604" s="368"/>
      <c r="M604" s="364"/>
      <c r="N604" s="364"/>
    </row>
    <row r="605" spans="1:14" s="7" customFormat="1" ht="41.25" customHeight="1" x14ac:dyDescent="0.25">
      <c r="A605" s="356"/>
      <c r="B605" s="383"/>
      <c r="C605" s="596"/>
      <c r="D605" s="356" t="s">
        <v>822</v>
      </c>
      <c r="E605" s="355" t="s">
        <v>821</v>
      </c>
      <c r="F605" s="364"/>
      <c r="G605" s="368"/>
      <c r="H605" s="368" t="s">
        <v>817</v>
      </c>
      <c r="I605" s="597">
        <v>1200000</v>
      </c>
      <c r="J605" s="380" t="s">
        <v>818</v>
      </c>
      <c r="K605" s="380" t="s">
        <v>819</v>
      </c>
      <c r="L605" s="368"/>
      <c r="M605" s="364"/>
      <c r="N605" s="364"/>
    </row>
    <row r="606" spans="1:14" s="7" customFormat="1" ht="51" x14ac:dyDescent="0.25">
      <c r="A606" s="356"/>
      <c r="B606" s="383"/>
      <c r="C606" s="596"/>
      <c r="D606" s="356" t="s">
        <v>823</v>
      </c>
      <c r="E606" s="355" t="s">
        <v>816</v>
      </c>
      <c r="F606" s="364"/>
      <c r="G606" s="368"/>
      <c r="H606" s="368" t="s">
        <v>824</v>
      </c>
      <c r="I606" s="597">
        <v>1000000</v>
      </c>
      <c r="J606" s="378" t="s">
        <v>818</v>
      </c>
      <c r="K606" s="378" t="s">
        <v>819</v>
      </c>
      <c r="L606" s="368"/>
      <c r="M606" s="364"/>
      <c r="N606" s="364"/>
    </row>
    <row r="607" spans="1:14" s="7" customFormat="1" ht="27" customHeight="1" x14ac:dyDescent="0.25">
      <c r="A607" s="356"/>
      <c r="B607" s="383"/>
      <c r="C607" s="596"/>
      <c r="D607" s="356" t="s">
        <v>825</v>
      </c>
      <c r="E607" s="355" t="s">
        <v>826</v>
      </c>
      <c r="F607" s="364"/>
      <c r="G607" s="368"/>
      <c r="H607" s="368" t="s">
        <v>824</v>
      </c>
      <c r="I607" s="597">
        <v>1000000</v>
      </c>
      <c r="J607" s="380" t="s">
        <v>818</v>
      </c>
      <c r="K607" s="380" t="s">
        <v>819</v>
      </c>
      <c r="L607" s="368"/>
      <c r="M607" s="364"/>
      <c r="N607" s="364"/>
    </row>
    <row r="608" spans="1:14" s="7" customFormat="1" ht="25.5" x14ac:dyDescent="0.25">
      <c r="A608" s="356"/>
      <c r="B608" s="383"/>
      <c r="C608" s="596"/>
      <c r="D608" s="598" t="s">
        <v>827</v>
      </c>
      <c r="E608" s="355"/>
      <c r="F608" s="364"/>
      <c r="G608" s="368"/>
      <c r="H608" s="368" t="s">
        <v>824</v>
      </c>
      <c r="I608" s="597">
        <v>200000</v>
      </c>
      <c r="J608" s="380" t="s">
        <v>818</v>
      </c>
      <c r="K608" s="380" t="s">
        <v>819</v>
      </c>
      <c r="L608" s="368"/>
      <c r="M608" s="364"/>
      <c r="N608" s="364"/>
    </row>
    <row r="609" spans="1:14" s="7" customFormat="1" ht="51" x14ac:dyDescent="0.25">
      <c r="A609" s="356"/>
      <c r="B609" s="383"/>
      <c r="C609" s="596"/>
      <c r="D609" s="356" t="s">
        <v>828</v>
      </c>
      <c r="E609" s="355"/>
      <c r="F609" s="364"/>
      <c r="G609" s="368"/>
      <c r="H609" s="368" t="s">
        <v>824</v>
      </c>
      <c r="I609" s="597">
        <v>100000</v>
      </c>
      <c r="J609" s="380" t="s">
        <v>818</v>
      </c>
      <c r="K609" s="380" t="s">
        <v>819</v>
      </c>
      <c r="L609" s="368"/>
      <c r="M609" s="364"/>
      <c r="N609" s="364"/>
    </row>
    <row r="610" spans="1:14" s="7" customFormat="1" ht="102" x14ac:dyDescent="0.25">
      <c r="A610" s="356"/>
      <c r="B610" s="383"/>
      <c r="C610" s="379"/>
      <c r="D610" s="356" t="s">
        <v>829</v>
      </c>
      <c r="E610" s="356"/>
      <c r="F610" s="599"/>
      <c r="G610" s="368"/>
      <c r="H610" s="357" t="s">
        <v>830</v>
      </c>
      <c r="I610" s="600">
        <v>1000000</v>
      </c>
      <c r="J610" s="380" t="s">
        <v>818</v>
      </c>
      <c r="K610" s="380" t="s">
        <v>819</v>
      </c>
      <c r="L610" s="368"/>
      <c r="M610" s="599"/>
      <c r="N610" s="599"/>
    </row>
    <row r="611" spans="1:14" s="7" customFormat="1" ht="71.25" customHeight="1" x14ac:dyDescent="0.25">
      <c r="A611" s="356" t="s">
        <v>831</v>
      </c>
      <c r="B611" s="356" t="s">
        <v>777</v>
      </c>
      <c r="C611" s="356" t="s">
        <v>832</v>
      </c>
      <c r="D611" s="356" t="s">
        <v>833</v>
      </c>
      <c r="E611" s="355"/>
      <c r="F611" s="364"/>
      <c r="G611" s="368"/>
      <c r="H611" s="357" t="s">
        <v>824</v>
      </c>
      <c r="I611" s="597">
        <v>1000000</v>
      </c>
      <c r="J611" s="380" t="s">
        <v>818</v>
      </c>
      <c r="K611" s="380" t="s">
        <v>819</v>
      </c>
      <c r="L611" s="368"/>
      <c r="M611" s="364"/>
      <c r="N611" s="364"/>
    </row>
    <row r="612" spans="1:14" s="7" customFormat="1" ht="45" customHeight="1" x14ac:dyDescent="0.25">
      <c r="A612" s="356" t="s">
        <v>834</v>
      </c>
      <c r="B612" s="356" t="s">
        <v>777</v>
      </c>
      <c r="C612" s="356" t="s">
        <v>835</v>
      </c>
      <c r="D612" s="356" t="s">
        <v>836</v>
      </c>
      <c r="E612" s="355"/>
      <c r="F612" s="364"/>
      <c r="G612" s="368"/>
      <c r="H612" s="357" t="s">
        <v>824</v>
      </c>
      <c r="I612" s="597">
        <v>6000000</v>
      </c>
      <c r="J612" s="380" t="s">
        <v>818</v>
      </c>
      <c r="K612" s="380" t="s">
        <v>819</v>
      </c>
      <c r="L612" s="368"/>
      <c r="M612" s="364"/>
      <c r="N612" s="364"/>
    </row>
    <row r="613" spans="1:14" s="7" customFormat="1" ht="324.75" customHeight="1" x14ac:dyDescent="0.25">
      <c r="A613" s="356" t="s">
        <v>837</v>
      </c>
      <c r="B613" s="356" t="s">
        <v>777</v>
      </c>
      <c r="C613" s="356" t="s">
        <v>838</v>
      </c>
      <c r="D613" s="356" t="s">
        <v>839</v>
      </c>
      <c r="E613" s="355"/>
      <c r="F613" s="364"/>
      <c r="G613" s="368"/>
      <c r="H613" s="357" t="s">
        <v>824</v>
      </c>
      <c r="I613" s="597" t="s">
        <v>840</v>
      </c>
      <c r="J613" s="380" t="s">
        <v>818</v>
      </c>
      <c r="K613" s="380" t="s">
        <v>819</v>
      </c>
      <c r="L613" s="368"/>
      <c r="M613" s="364"/>
      <c r="N613" s="364"/>
    </row>
    <row r="614" spans="1:14" s="7" customFormat="1" ht="15.75" x14ac:dyDescent="0.25">
      <c r="A614" s="486" t="s">
        <v>841</v>
      </c>
      <c r="B614" s="487"/>
      <c r="C614" s="487"/>
      <c r="D614" s="487"/>
      <c r="E614" s="487"/>
      <c r="F614" s="487"/>
      <c r="G614" s="487"/>
      <c r="H614" s="487"/>
      <c r="I614" s="487"/>
      <c r="J614" s="487"/>
      <c r="K614" s="487"/>
      <c r="L614" s="487"/>
      <c r="M614" s="487"/>
      <c r="N614" s="488"/>
    </row>
    <row r="615" spans="1:14" s="7" customFormat="1" ht="15.75" x14ac:dyDescent="0.25">
      <c r="A615" s="466" t="s">
        <v>842</v>
      </c>
      <c r="B615" s="467"/>
      <c r="C615" s="467"/>
      <c r="D615" s="467"/>
      <c r="E615" s="467"/>
      <c r="F615" s="467"/>
      <c r="G615" s="467"/>
      <c r="H615" s="467"/>
      <c r="I615" s="467"/>
      <c r="J615" s="467"/>
      <c r="K615" s="467"/>
      <c r="L615" s="467"/>
      <c r="M615" s="467"/>
      <c r="N615" s="468"/>
    </row>
    <row r="616" spans="1:14" s="7" customFormat="1" ht="70.5" customHeight="1" x14ac:dyDescent="0.25">
      <c r="A616" s="11" t="s">
        <v>843</v>
      </c>
      <c r="B616" s="356" t="s">
        <v>777</v>
      </c>
      <c r="C616" s="11" t="s">
        <v>844</v>
      </c>
      <c r="D616" s="11" t="s">
        <v>845</v>
      </c>
      <c r="E616" s="296" t="s">
        <v>846</v>
      </c>
      <c r="F616" s="12"/>
      <c r="G616" s="12" t="s">
        <v>388</v>
      </c>
      <c r="H616" s="12" t="s">
        <v>244</v>
      </c>
      <c r="I616" s="601">
        <v>2250000</v>
      </c>
      <c r="J616" s="602" t="s">
        <v>847</v>
      </c>
      <c r="K616" s="602" t="s">
        <v>848</v>
      </c>
      <c r="L616" s="11"/>
      <c r="M616" s="11"/>
      <c r="N616" s="296" t="s">
        <v>849</v>
      </c>
    </row>
    <row r="617" spans="1:14" s="7" customFormat="1" ht="165.75" x14ac:dyDescent="0.2">
      <c r="A617" s="216"/>
      <c r="B617" s="603"/>
      <c r="C617" s="123" t="s">
        <v>850</v>
      </c>
      <c r="D617" s="145" t="s">
        <v>851</v>
      </c>
      <c r="E617" s="298"/>
      <c r="F617" s="13"/>
      <c r="G617" s="13"/>
      <c r="H617" s="13"/>
      <c r="I617" s="604"/>
      <c r="J617" s="605"/>
      <c r="K617" s="605"/>
      <c r="L617" s="123" t="s">
        <v>852</v>
      </c>
      <c r="M617" s="606"/>
      <c r="N617" s="298"/>
    </row>
    <row r="618" spans="1:14" s="7" customFormat="1" ht="45.75" customHeight="1" x14ac:dyDescent="0.2">
      <c r="A618" s="216"/>
      <c r="B618" s="603"/>
      <c r="C618" s="123" t="s">
        <v>853</v>
      </c>
      <c r="D618" s="145" t="s">
        <v>854</v>
      </c>
      <c r="E618" s="299"/>
      <c r="F618" s="14"/>
      <c r="G618" s="14"/>
      <c r="H618" s="14"/>
      <c r="I618" s="607"/>
      <c r="J618" s="608"/>
      <c r="K618" s="608"/>
      <c r="L618" s="123" t="s">
        <v>855</v>
      </c>
      <c r="M618" s="606"/>
      <c r="N618" s="299"/>
    </row>
    <row r="619" spans="1:14" s="7" customFormat="1" ht="46.5" customHeight="1" x14ac:dyDescent="0.25">
      <c r="A619" s="11" t="s">
        <v>856</v>
      </c>
      <c r="B619" s="356" t="s">
        <v>777</v>
      </c>
      <c r="C619" s="11" t="s">
        <v>844</v>
      </c>
      <c r="D619" s="11" t="s">
        <v>857</v>
      </c>
      <c r="E619" s="296" t="s">
        <v>858</v>
      </c>
      <c r="F619" s="12"/>
      <c r="G619" s="12" t="s">
        <v>388</v>
      </c>
      <c r="H619" s="12" t="s">
        <v>244</v>
      </c>
      <c r="I619" s="601">
        <v>2250000</v>
      </c>
      <c r="J619" s="602" t="s">
        <v>847</v>
      </c>
      <c r="K619" s="602" t="s">
        <v>848</v>
      </c>
      <c r="L619" s="11"/>
      <c r="M619" s="11"/>
      <c r="N619" s="296" t="s">
        <v>859</v>
      </c>
    </row>
    <row r="620" spans="1:14" s="7" customFormat="1" ht="140.25" x14ac:dyDescent="0.2">
      <c r="A620" s="216"/>
      <c r="B620" s="603"/>
      <c r="C620" s="123" t="s">
        <v>850</v>
      </c>
      <c r="D620" s="145" t="s">
        <v>860</v>
      </c>
      <c r="E620" s="298"/>
      <c r="F620" s="13"/>
      <c r="G620" s="13"/>
      <c r="H620" s="13"/>
      <c r="I620" s="604"/>
      <c r="J620" s="605"/>
      <c r="K620" s="605"/>
      <c r="L620" s="123" t="s">
        <v>861</v>
      </c>
      <c r="M620" s="606"/>
      <c r="N620" s="298"/>
    </row>
    <row r="621" spans="1:14" s="7" customFormat="1" ht="205.5" customHeight="1" x14ac:dyDescent="0.2">
      <c r="A621" s="216"/>
      <c r="B621" s="603"/>
      <c r="C621" s="123" t="s">
        <v>862</v>
      </c>
      <c r="D621" s="145" t="s">
        <v>854</v>
      </c>
      <c r="E621" s="299"/>
      <c r="F621" s="14"/>
      <c r="G621" s="14"/>
      <c r="H621" s="14"/>
      <c r="I621" s="607"/>
      <c r="J621" s="608"/>
      <c r="K621" s="608"/>
      <c r="L621" s="123" t="s">
        <v>855</v>
      </c>
      <c r="M621" s="606"/>
      <c r="N621" s="299"/>
    </row>
    <row r="622" spans="1:14" s="7" customFormat="1" ht="102" x14ac:dyDescent="0.25">
      <c r="A622" s="11" t="s">
        <v>863</v>
      </c>
      <c r="B622" s="356" t="s">
        <v>777</v>
      </c>
      <c r="C622" s="11" t="s">
        <v>864</v>
      </c>
      <c r="D622" s="11" t="s">
        <v>865</v>
      </c>
      <c r="E622" s="106" t="s">
        <v>866</v>
      </c>
      <c r="F622" s="311"/>
      <c r="G622" s="311" t="s">
        <v>388</v>
      </c>
      <c r="H622" s="311" t="s">
        <v>244</v>
      </c>
      <c r="I622" s="609">
        <v>900000</v>
      </c>
      <c r="J622" s="610" t="s">
        <v>847</v>
      </c>
      <c r="K622" s="610" t="s">
        <v>848</v>
      </c>
      <c r="L622" s="11"/>
      <c r="M622" s="11"/>
      <c r="N622" s="106" t="s">
        <v>867</v>
      </c>
    </row>
    <row r="623" spans="1:14" s="7" customFormat="1" ht="25.5" x14ac:dyDescent="0.2">
      <c r="A623" s="216"/>
      <c r="B623" s="603"/>
      <c r="C623" s="123" t="s">
        <v>862</v>
      </c>
      <c r="D623" s="145" t="s">
        <v>868</v>
      </c>
      <c r="E623" s="106"/>
      <c r="F623" s="311"/>
      <c r="G623" s="311"/>
      <c r="H623" s="311"/>
      <c r="I623" s="609"/>
      <c r="J623" s="610"/>
      <c r="K623" s="610"/>
      <c r="L623" s="611" t="s">
        <v>868</v>
      </c>
      <c r="M623" s="606"/>
      <c r="N623" s="106"/>
    </row>
    <row r="624" spans="1:14" s="7" customFormat="1" ht="180" customHeight="1" x14ac:dyDescent="0.25">
      <c r="A624" s="11" t="s">
        <v>869</v>
      </c>
      <c r="B624" s="356" t="s">
        <v>777</v>
      </c>
      <c r="C624" s="131" t="s">
        <v>870</v>
      </c>
      <c r="D624" s="131" t="s">
        <v>871</v>
      </c>
      <c r="E624" s="123" t="s">
        <v>872</v>
      </c>
      <c r="F624" s="123" t="s">
        <v>873</v>
      </c>
      <c r="G624" s="612"/>
      <c r="H624" s="145" t="s">
        <v>874</v>
      </c>
      <c r="I624" s="346">
        <v>510000</v>
      </c>
      <c r="J624" s="15" t="s">
        <v>875</v>
      </c>
      <c r="K624" s="613" t="s">
        <v>848</v>
      </c>
      <c r="L624" s="11" t="s">
        <v>876</v>
      </c>
      <c r="M624" s="11" t="s">
        <v>877</v>
      </c>
      <c r="N624" s="11" t="s">
        <v>878</v>
      </c>
    </row>
    <row r="625" spans="1:14" s="7" customFormat="1" ht="153" x14ac:dyDescent="0.2">
      <c r="A625" s="216"/>
      <c r="B625" s="603"/>
      <c r="C625" s="123"/>
      <c r="D625" s="145" t="s">
        <v>879</v>
      </c>
      <c r="E625" s="123" t="s">
        <v>880</v>
      </c>
      <c r="F625" s="123" t="s">
        <v>881</v>
      </c>
      <c r="G625" s="15" t="s">
        <v>882</v>
      </c>
      <c r="H625" s="15" t="s">
        <v>883</v>
      </c>
      <c r="I625" s="422">
        <v>500000</v>
      </c>
      <c r="J625" s="15" t="s">
        <v>875</v>
      </c>
      <c r="K625" s="613" t="s">
        <v>848</v>
      </c>
      <c r="L625" s="614" t="s">
        <v>884</v>
      </c>
      <c r="M625" s="606"/>
      <c r="N625" s="123" t="s">
        <v>885</v>
      </c>
    </row>
    <row r="626" spans="1:14" s="7" customFormat="1" ht="87.75" customHeight="1" x14ac:dyDescent="0.25">
      <c r="A626" s="11" t="s">
        <v>886</v>
      </c>
      <c r="B626" s="356" t="s">
        <v>777</v>
      </c>
      <c r="C626" s="131" t="s">
        <v>887</v>
      </c>
      <c r="D626" s="131" t="s">
        <v>888</v>
      </c>
      <c r="E626" s="123" t="s">
        <v>889</v>
      </c>
      <c r="F626" s="123" t="s">
        <v>890</v>
      </c>
      <c r="G626" s="612" t="s">
        <v>342</v>
      </c>
      <c r="H626" s="145" t="s">
        <v>199</v>
      </c>
      <c r="I626" s="346">
        <v>200000</v>
      </c>
      <c r="J626" s="15" t="s">
        <v>875</v>
      </c>
      <c r="K626" s="613" t="s">
        <v>848</v>
      </c>
      <c r="L626" s="11" t="s">
        <v>888</v>
      </c>
      <c r="M626" s="11"/>
      <c r="N626" s="11" t="s">
        <v>891</v>
      </c>
    </row>
    <row r="627" spans="1:14" s="7" customFormat="1" ht="71.25" customHeight="1" x14ac:dyDescent="0.2">
      <c r="A627" s="216"/>
      <c r="B627" s="603"/>
      <c r="C627" s="123"/>
      <c r="D627" s="145" t="s">
        <v>892</v>
      </c>
      <c r="E627" s="123" t="s">
        <v>893</v>
      </c>
      <c r="F627" s="123" t="s">
        <v>894</v>
      </c>
      <c r="G627" s="123" t="s">
        <v>342</v>
      </c>
      <c r="H627" s="123" t="s">
        <v>244</v>
      </c>
      <c r="I627" s="615">
        <v>200000</v>
      </c>
      <c r="J627" s="15" t="s">
        <v>875</v>
      </c>
      <c r="K627" s="613" t="s">
        <v>848</v>
      </c>
      <c r="L627" s="145" t="s">
        <v>892</v>
      </c>
      <c r="M627" s="407">
        <v>180000</v>
      </c>
      <c r="N627" s="123"/>
    </row>
    <row r="628" spans="1:14" s="7" customFormat="1" ht="175.5" customHeight="1" x14ac:dyDescent="0.2">
      <c r="A628" s="216"/>
      <c r="B628" s="603"/>
      <c r="C628" s="123" t="s">
        <v>895</v>
      </c>
      <c r="D628" s="145" t="s">
        <v>896</v>
      </c>
      <c r="E628" s="123" t="s">
        <v>897</v>
      </c>
      <c r="F628" s="123" t="s">
        <v>898</v>
      </c>
      <c r="G628" s="123" t="s">
        <v>388</v>
      </c>
      <c r="H628" s="123" t="s">
        <v>899</v>
      </c>
      <c r="I628" s="615">
        <v>2000000</v>
      </c>
      <c r="J628" s="123" t="s">
        <v>900</v>
      </c>
      <c r="K628" s="613"/>
      <c r="L628" s="145"/>
      <c r="M628" s="407"/>
      <c r="N628" s="123" t="s">
        <v>901</v>
      </c>
    </row>
    <row r="629" spans="1:14" s="7" customFormat="1" ht="129" customHeight="1" x14ac:dyDescent="0.2">
      <c r="A629" s="216"/>
      <c r="B629" s="603"/>
      <c r="C629" s="123" t="s">
        <v>902</v>
      </c>
      <c r="D629" s="145" t="s">
        <v>903</v>
      </c>
      <c r="E629" s="123" t="s">
        <v>904</v>
      </c>
      <c r="F629" s="123" t="s">
        <v>905</v>
      </c>
      <c r="G629" s="123" t="s">
        <v>388</v>
      </c>
      <c r="H629" s="123" t="s">
        <v>899</v>
      </c>
      <c r="I629" s="615">
        <v>5000000</v>
      </c>
      <c r="J629" s="123" t="s">
        <v>906</v>
      </c>
      <c r="K629" s="613"/>
      <c r="L629" s="616">
        <v>0.39589999999999997</v>
      </c>
      <c r="M629" s="407">
        <v>586493.09</v>
      </c>
      <c r="N629" s="123" t="s">
        <v>907</v>
      </c>
    </row>
    <row r="630" spans="1:14" s="7" customFormat="1" ht="97.5" customHeight="1" x14ac:dyDescent="0.2">
      <c r="A630" s="216"/>
      <c r="B630" s="603"/>
      <c r="C630" s="123" t="s">
        <v>908</v>
      </c>
      <c r="D630" s="145" t="s">
        <v>909</v>
      </c>
      <c r="E630" s="123" t="s">
        <v>904</v>
      </c>
      <c r="F630" s="123"/>
      <c r="G630" s="123"/>
      <c r="H630" s="123" t="s">
        <v>899</v>
      </c>
      <c r="I630" s="615">
        <v>3000000</v>
      </c>
      <c r="J630" s="123" t="s">
        <v>910</v>
      </c>
      <c r="K630" s="613"/>
      <c r="L630" s="617">
        <v>0.3</v>
      </c>
      <c r="M630" s="407">
        <v>442922.35</v>
      </c>
      <c r="N630" s="123" t="s">
        <v>911</v>
      </c>
    </row>
    <row r="631" spans="1:14" s="6" customFormat="1" ht="30" customHeight="1" x14ac:dyDescent="0.3">
      <c r="A631" s="16" t="s">
        <v>1424</v>
      </c>
      <c r="B631" s="16"/>
      <c r="C631" s="16"/>
      <c r="D631" s="16"/>
      <c r="E631" s="16"/>
      <c r="F631" s="16"/>
      <c r="G631" s="16"/>
      <c r="H631" s="16"/>
      <c r="I631" s="16"/>
      <c r="J631" s="16"/>
      <c r="K631" s="16"/>
      <c r="L631" s="16"/>
      <c r="M631" s="16"/>
      <c r="N631" s="16"/>
    </row>
    <row r="632" spans="1:14" s="7" customFormat="1" ht="51" x14ac:dyDescent="0.25">
      <c r="A632" s="618" t="s">
        <v>1425</v>
      </c>
      <c r="B632" s="48" t="s">
        <v>1426</v>
      </c>
      <c r="C632" s="46" t="s">
        <v>1427</v>
      </c>
      <c r="D632" s="48" t="s">
        <v>1428</v>
      </c>
      <c r="E632" s="48" t="s">
        <v>1429</v>
      </c>
      <c r="F632" s="48" t="s">
        <v>1430</v>
      </c>
      <c r="G632" s="619" t="s">
        <v>388</v>
      </c>
      <c r="H632" s="48" t="s">
        <v>1431</v>
      </c>
      <c r="I632" s="620">
        <v>2111867.63</v>
      </c>
      <c r="J632" s="621" t="s">
        <v>24</v>
      </c>
      <c r="K632" s="48" t="s">
        <v>24</v>
      </c>
      <c r="L632" s="622">
        <v>0.91749999999999998</v>
      </c>
      <c r="M632" s="622" t="s">
        <v>24</v>
      </c>
      <c r="N632" s="623" t="s">
        <v>1432</v>
      </c>
    </row>
    <row r="633" spans="1:14" s="7" customFormat="1" ht="38.25" x14ac:dyDescent="0.25">
      <c r="A633" s="618" t="s">
        <v>1425</v>
      </c>
      <c r="B633" s="48" t="s">
        <v>1426</v>
      </c>
      <c r="C633" s="46" t="s">
        <v>1427</v>
      </c>
      <c r="D633" s="48" t="s">
        <v>1428</v>
      </c>
      <c r="E633" s="48" t="s">
        <v>1433</v>
      </c>
      <c r="F633" s="48" t="s">
        <v>24</v>
      </c>
      <c r="G633" s="619" t="s">
        <v>388</v>
      </c>
      <c r="H633" s="48" t="s">
        <v>1434</v>
      </c>
      <c r="I633" s="620">
        <v>2125000</v>
      </c>
      <c r="J633" s="621" t="s">
        <v>24</v>
      </c>
      <c r="K633" s="48" t="s">
        <v>24</v>
      </c>
      <c r="L633" s="622" t="s">
        <v>24</v>
      </c>
      <c r="M633" s="622" t="s">
        <v>24</v>
      </c>
      <c r="N633" s="623" t="s">
        <v>1435</v>
      </c>
    </row>
    <row r="634" spans="1:14" s="7" customFormat="1" ht="89.25" x14ac:dyDescent="0.25">
      <c r="A634" s="618" t="s">
        <v>1425</v>
      </c>
      <c r="B634" s="48" t="s">
        <v>1426</v>
      </c>
      <c r="C634" s="46" t="s">
        <v>1436</v>
      </c>
      <c r="D634" s="48" t="s">
        <v>1428</v>
      </c>
      <c r="E634" s="48" t="s">
        <v>1437</v>
      </c>
      <c r="F634" s="48" t="s">
        <v>1438</v>
      </c>
      <c r="G634" s="619" t="s">
        <v>388</v>
      </c>
      <c r="H634" s="48" t="s">
        <v>1434</v>
      </c>
      <c r="I634" s="620">
        <v>2194966.4</v>
      </c>
      <c r="J634" s="621" t="s">
        <v>24</v>
      </c>
      <c r="K634" s="48" t="s">
        <v>24</v>
      </c>
      <c r="L634" s="622" t="s">
        <v>24</v>
      </c>
      <c r="M634" s="622" t="s">
        <v>24</v>
      </c>
      <c r="N634" s="623" t="s">
        <v>1435</v>
      </c>
    </row>
    <row r="635" spans="1:14" s="7" customFormat="1" ht="51" x14ac:dyDescent="0.25">
      <c r="A635" s="618" t="s">
        <v>1439</v>
      </c>
      <c r="B635" s="48" t="s">
        <v>1426</v>
      </c>
      <c r="C635" s="46" t="s">
        <v>1440</v>
      </c>
      <c r="D635" s="48" t="s">
        <v>1441</v>
      </c>
      <c r="E635" s="48" t="s">
        <v>1442</v>
      </c>
      <c r="F635" s="48" t="s">
        <v>1443</v>
      </c>
      <c r="G635" s="619" t="s">
        <v>388</v>
      </c>
      <c r="H635" s="48" t="s">
        <v>1444</v>
      </c>
      <c r="I635" s="620">
        <v>2511600</v>
      </c>
      <c r="J635" s="621" t="s">
        <v>24</v>
      </c>
      <c r="K635" s="48" t="s">
        <v>24</v>
      </c>
      <c r="L635" s="622" t="s">
        <v>24</v>
      </c>
      <c r="M635" s="622" t="s">
        <v>24</v>
      </c>
      <c r="N635" s="623" t="s">
        <v>1435</v>
      </c>
    </row>
    <row r="636" spans="1:14" s="7" customFormat="1" ht="51" x14ac:dyDescent="0.25">
      <c r="A636" s="618" t="s">
        <v>1439</v>
      </c>
      <c r="B636" s="48" t="s">
        <v>1426</v>
      </c>
      <c r="C636" s="46" t="s">
        <v>1445</v>
      </c>
      <c r="D636" s="48" t="s">
        <v>1441</v>
      </c>
      <c r="E636" s="48" t="s">
        <v>1446</v>
      </c>
      <c r="F636" s="48" t="s">
        <v>1447</v>
      </c>
      <c r="G636" s="619" t="s">
        <v>388</v>
      </c>
      <c r="H636" s="48" t="s">
        <v>1448</v>
      </c>
      <c r="I636" s="620">
        <v>378499.34</v>
      </c>
      <c r="J636" s="621" t="s">
        <v>24</v>
      </c>
      <c r="K636" s="48" t="s">
        <v>24</v>
      </c>
      <c r="L636" s="622" t="s">
        <v>24</v>
      </c>
      <c r="M636" s="622" t="s">
        <v>24</v>
      </c>
      <c r="N636" s="623" t="s">
        <v>1435</v>
      </c>
    </row>
    <row r="637" spans="1:14" s="7" customFormat="1" ht="51" x14ac:dyDescent="0.25">
      <c r="A637" s="618" t="s">
        <v>1439</v>
      </c>
      <c r="B637" s="48" t="s">
        <v>1426</v>
      </c>
      <c r="C637" s="46" t="s">
        <v>1449</v>
      </c>
      <c r="D637" s="48" t="s">
        <v>1441</v>
      </c>
      <c r="E637" s="48" t="s">
        <v>1442</v>
      </c>
      <c r="F637" s="621" t="s">
        <v>24</v>
      </c>
      <c r="G637" s="619" t="s">
        <v>388</v>
      </c>
      <c r="H637" s="624" t="s">
        <v>57</v>
      </c>
      <c r="I637" s="620">
        <v>1200000</v>
      </c>
      <c r="J637" s="621" t="s">
        <v>24</v>
      </c>
      <c r="K637" s="48" t="s">
        <v>24</v>
      </c>
      <c r="L637" s="622" t="s">
        <v>24</v>
      </c>
      <c r="M637" s="622" t="s">
        <v>24</v>
      </c>
      <c r="N637" s="623" t="s">
        <v>1435</v>
      </c>
    </row>
    <row r="638" spans="1:14" s="7" customFormat="1" ht="38.25" x14ac:dyDescent="0.25">
      <c r="A638" s="618" t="s">
        <v>1439</v>
      </c>
      <c r="B638" s="48" t="s">
        <v>1426</v>
      </c>
      <c r="C638" s="46" t="s">
        <v>1450</v>
      </c>
      <c r="D638" s="48" t="s">
        <v>1441</v>
      </c>
      <c r="E638" s="48" t="s">
        <v>1451</v>
      </c>
      <c r="F638" s="621" t="s">
        <v>24</v>
      </c>
      <c r="G638" s="619" t="s">
        <v>388</v>
      </c>
      <c r="H638" s="624" t="s">
        <v>57</v>
      </c>
      <c r="I638" s="620">
        <v>2000000</v>
      </c>
      <c r="J638" s="621" t="s">
        <v>24</v>
      </c>
      <c r="K638" s="48" t="s">
        <v>24</v>
      </c>
      <c r="L638" s="622" t="s">
        <v>24</v>
      </c>
      <c r="M638" s="622" t="s">
        <v>24</v>
      </c>
      <c r="N638" s="623" t="s">
        <v>1435</v>
      </c>
    </row>
    <row r="639" spans="1:14" s="7" customFormat="1" ht="38.25" x14ac:dyDescent="0.25">
      <c r="A639" s="618" t="s">
        <v>1439</v>
      </c>
      <c r="B639" s="48" t="s">
        <v>1426</v>
      </c>
      <c r="C639" s="46" t="s">
        <v>1452</v>
      </c>
      <c r="D639" s="48" t="s">
        <v>1441</v>
      </c>
      <c r="E639" s="48" t="s">
        <v>1429</v>
      </c>
      <c r="F639" s="621" t="s">
        <v>24</v>
      </c>
      <c r="G639" s="619" t="s">
        <v>388</v>
      </c>
      <c r="H639" s="624" t="s">
        <v>57</v>
      </c>
      <c r="I639" s="620">
        <v>15000000</v>
      </c>
      <c r="J639" s="621" t="s">
        <v>24</v>
      </c>
      <c r="K639" s="48" t="s">
        <v>24</v>
      </c>
      <c r="L639" s="622" t="s">
        <v>24</v>
      </c>
      <c r="M639" s="622" t="s">
        <v>24</v>
      </c>
      <c r="N639" s="623" t="s">
        <v>1435</v>
      </c>
    </row>
    <row r="640" spans="1:14" s="7" customFormat="1" ht="51" x14ac:dyDescent="0.25">
      <c r="A640" s="618" t="s">
        <v>1439</v>
      </c>
      <c r="B640" s="48" t="s">
        <v>1426</v>
      </c>
      <c r="C640" s="46" t="s">
        <v>1453</v>
      </c>
      <c r="D640" s="48" t="s">
        <v>1441</v>
      </c>
      <c r="E640" s="48" t="s">
        <v>1454</v>
      </c>
      <c r="F640" s="621" t="s">
        <v>24</v>
      </c>
      <c r="G640" s="619" t="s">
        <v>388</v>
      </c>
      <c r="H640" s="624" t="s">
        <v>1455</v>
      </c>
      <c r="I640" s="620">
        <v>24000000</v>
      </c>
      <c r="J640" s="621" t="s">
        <v>24</v>
      </c>
      <c r="K640" s="48" t="s">
        <v>24</v>
      </c>
      <c r="L640" s="622" t="s">
        <v>24</v>
      </c>
      <c r="M640" s="622" t="s">
        <v>24</v>
      </c>
      <c r="N640" s="623" t="s">
        <v>1435</v>
      </c>
    </row>
    <row r="641" spans="1:14" s="7" customFormat="1" ht="51" x14ac:dyDescent="0.25">
      <c r="A641" s="618" t="s">
        <v>1439</v>
      </c>
      <c r="B641" s="48" t="s">
        <v>1426</v>
      </c>
      <c r="C641" s="46" t="s">
        <v>1456</v>
      </c>
      <c r="D641" s="48" t="s">
        <v>1441</v>
      </c>
      <c r="E641" s="48" t="s">
        <v>1457</v>
      </c>
      <c r="F641" s="621" t="s">
        <v>24</v>
      </c>
      <c r="G641" s="619" t="s">
        <v>388</v>
      </c>
      <c r="H641" s="624" t="s">
        <v>1455</v>
      </c>
      <c r="I641" s="620">
        <v>5000000</v>
      </c>
      <c r="J641" s="621" t="s">
        <v>24</v>
      </c>
      <c r="K641" s="48" t="s">
        <v>24</v>
      </c>
      <c r="L641" s="622" t="s">
        <v>24</v>
      </c>
      <c r="M641" s="622" t="s">
        <v>24</v>
      </c>
      <c r="N641" s="623" t="s">
        <v>1435</v>
      </c>
    </row>
    <row r="642" spans="1:14" s="7" customFormat="1" ht="38.25" x14ac:dyDescent="0.25">
      <c r="A642" s="618" t="s">
        <v>1439</v>
      </c>
      <c r="B642" s="48" t="s">
        <v>1426</v>
      </c>
      <c r="C642" s="46" t="s">
        <v>1458</v>
      </c>
      <c r="D642" s="48" t="s">
        <v>1441</v>
      </c>
      <c r="E642" s="48" t="s">
        <v>1459</v>
      </c>
      <c r="F642" s="621" t="s">
        <v>24</v>
      </c>
      <c r="G642" s="619" t="s">
        <v>388</v>
      </c>
      <c r="H642" s="624" t="s">
        <v>1455</v>
      </c>
      <c r="I642" s="620">
        <v>1800000</v>
      </c>
      <c r="J642" s="621" t="s">
        <v>24</v>
      </c>
      <c r="K642" s="48" t="s">
        <v>24</v>
      </c>
      <c r="L642" s="622" t="s">
        <v>24</v>
      </c>
      <c r="M642" s="622" t="s">
        <v>24</v>
      </c>
      <c r="N642" s="623" t="s">
        <v>1435</v>
      </c>
    </row>
    <row r="643" spans="1:14" s="7" customFormat="1" ht="15.75" x14ac:dyDescent="0.25">
      <c r="A643" s="625" t="s">
        <v>1460</v>
      </c>
      <c r="B643" s="626"/>
      <c r="C643" s="626"/>
      <c r="D643" s="626"/>
      <c r="E643" s="626"/>
      <c r="F643" s="626"/>
      <c r="G643" s="626"/>
      <c r="H643" s="626"/>
      <c r="I643" s="626"/>
      <c r="J643" s="626"/>
      <c r="K643" s="626"/>
      <c r="L643" s="626"/>
      <c r="M643" s="626"/>
      <c r="N643" s="627"/>
    </row>
    <row r="644" spans="1:14" s="7" customFormat="1" ht="38.25" x14ac:dyDescent="0.25">
      <c r="A644" s="618" t="s">
        <v>1439</v>
      </c>
      <c r="B644" s="48" t="s">
        <v>1461</v>
      </c>
      <c r="C644" s="43" t="s">
        <v>1462</v>
      </c>
      <c r="D644" s="48" t="s">
        <v>1441</v>
      </c>
      <c r="E644" s="48" t="s">
        <v>1463</v>
      </c>
      <c r="F644" s="628" t="s">
        <v>1464</v>
      </c>
      <c r="G644" s="628" t="s">
        <v>388</v>
      </c>
      <c r="H644" s="629" t="s">
        <v>1465</v>
      </c>
      <c r="I644" s="630">
        <v>12983420.16</v>
      </c>
      <c r="J644" s="628" t="s">
        <v>1466</v>
      </c>
      <c r="K644" s="628" t="s">
        <v>1467</v>
      </c>
      <c r="L644" s="631">
        <v>0.59160000000000001</v>
      </c>
      <c r="M644" s="632">
        <v>0</v>
      </c>
      <c r="N644" s="629" t="s">
        <v>1432</v>
      </c>
    </row>
    <row r="645" spans="1:14" s="7" customFormat="1" ht="38.25" x14ac:dyDescent="0.25">
      <c r="A645" s="618" t="s">
        <v>1439</v>
      </c>
      <c r="B645" s="48" t="s">
        <v>1461</v>
      </c>
      <c r="C645" s="43" t="s">
        <v>1468</v>
      </c>
      <c r="D645" s="48" t="s">
        <v>1441</v>
      </c>
      <c r="E645" s="48" t="s">
        <v>1463</v>
      </c>
      <c r="F645" s="633"/>
      <c r="G645" s="633"/>
      <c r="H645" s="634"/>
      <c r="I645" s="630"/>
      <c r="J645" s="633"/>
      <c r="K645" s="633"/>
      <c r="L645" s="635"/>
      <c r="M645" s="636"/>
      <c r="N645" s="634"/>
    </row>
    <row r="646" spans="1:14" s="7" customFormat="1" ht="38.25" x14ac:dyDescent="0.25">
      <c r="A646" s="618" t="s">
        <v>1439</v>
      </c>
      <c r="B646" s="48" t="s">
        <v>1461</v>
      </c>
      <c r="C646" s="43" t="s">
        <v>1469</v>
      </c>
      <c r="D646" s="48" t="s">
        <v>1441</v>
      </c>
      <c r="E646" s="48" t="s">
        <v>1463</v>
      </c>
      <c r="F646" s="637"/>
      <c r="G646" s="637"/>
      <c r="H646" s="638"/>
      <c r="I646" s="630"/>
      <c r="J646" s="637"/>
      <c r="K646" s="637"/>
      <c r="L646" s="639"/>
      <c r="M646" s="640"/>
      <c r="N646" s="638"/>
    </row>
    <row r="647" spans="1:14" s="7" customFormat="1" ht="15.75" x14ac:dyDescent="0.25">
      <c r="A647" s="641" t="s">
        <v>1439</v>
      </c>
      <c r="B647" s="48" t="s">
        <v>1461</v>
      </c>
      <c r="C647" s="43" t="s">
        <v>1470</v>
      </c>
      <c r="D647" s="48" t="s">
        <v>1441</v>
      </c>
      <c r="E647" s="48" t="s">
        <v>1463</v>
      </c>
      <c r="F647" s="628" t="s">
        <v>1471</v>
      </c>
      <c r="G647" s="628" t="s">
        <v>388</v>
      </c>
      <c r="H647" s="629" t="s">
        <v>1472</v>
      </c>
      <c r="I647" s="642">
        <v>4253047.3899999997</v>
      </c>
      <c r="J647" s="628" t="s">
        <v>24</v>
      </c>
      <c r="K647" s="628" t="s">
        <v>24</v>
      </c>
      <c r="L647" s="632">
        <v>0</v>
      </c>
      <c r="M647" s="632">
        <v>0</v>
      </c>
      <c r="N647" s="643" t="s">
        <v>1432</v>
      </c>
    </row>
    <row r="648" spans="1:14" s="7" customFormat="1" ht="21" customHeight="1" x14ac:dyDescent="0.25">
      <c r="A648" s="644"/>
      <c r="B648" s="48" t="s">
        <v>1461</v>
      </c>
      <c r="C648" s="43" t="s">
        <v>1473</v>
      </c>
      <c r="D648" s="48" t="s">
        <v>1441</v>
      </c>
      <c r="E648" s="48" t="s">
        <v>1463</v>
      </c>
      <c r="F648" s="637"/>
      <c r="G648" s="637"/>
      <c r="H648" s="638"/>
      <c r="I648" s="645"/>
      <c r="J648" s="637"/>
      <c r="K648" s="637"/>
      <c r="L648" s="640"/>
      <c r="M648" s="640"/>
      <c r="N648" s="646"/>
    </row>
    <row r="649" spans="1:14" s="7" customFormat="1" ht="51" x14ac:dyDescent="0.25">
      <c r="A649" s="618" t="s">
        <v>1439</v>
      </c>
      <c r="B649" s="48" t="s">
        <v>1461</v>
      </c>
      <c r="C649" s="46" t="s">
        <v>1474</v>
      </c>
      <c r="D649" s="48" t="s">
        <v>1441</v>
      </c>
      <c r="E649" s="48" t="s">
        <v>1463</v>
      </c>
      <c r="F649" s="48" t="s">
        <v>1475</v>
      </c>
      <c r="G649" s="48" t="s">
        <v>388</v>
      </c>
      <c r="H649" s="48" t="s">
        <v>1448</v>
      </c>
      <c r="I649" s="647">
        <v>779897.8</v>
      </c>
      <c r="J649" s="48" t="s">
        <v>1476</v>
      </c>
      <c r="K649" s="48" t="s">
        <v>1477</v>
      </c>
      <c r="L649" s="648">
        <v>0</v>
      </c>
      <c r="M649" s="649">
        <v>0</v>
      </c>
      <c r="N649" s="623" t="s">
        <v>1478</v>
      </c>
    </row>
    <row r="650" spans="1:14" s="7" customFormat="1" ht="38.25" x14ac:dyDescent="0.25">
      <c r="A650" s="618" t="s">
        <v>1439</v>
      </c>
      <c r="B650" s="48" t="s">
        <v>1461</v>
      </c>
      <c r="C650" s="46" t="s">
        <v>1479</v>
      </c>
      <c r="D650" s="48" t="s">
        <v>1441</v>
      </c>
      <c r="E650" s="48" t="s">
        <v>1463</v>
      </c>
      <c r="F650" s="48" t="s">
        <v>24</v>
      </c>
      <c r="G650" s="48" t="s">
        <v>388</v>
      </c>
      <c r="H650" s="48" t="s">
        <v>1448</v>
      </c>
      <c r="I650" s="647">
        <v>2250000</v>
      </c>
      <c r="J650" s="48" t="s">
        <v>24</v>
      </c>
      <c r="K650" s="48" t="s">
        <v>24</v>
      </c>
      <c r="L650" s="648">
        <v>0</v>
      </c>
      <c r="M650" s="649">
        <v>0</v>
      </c>
      <c r="N650" s="623" t="s">
        <v>1435</v>
      </c>
    </row>
    <row r="651" spans="1:14" s="7" customFormat="1" ht="15.75" x14ac:dyDescent="0.25">
      <c r="A651" s="650" t="s">
        <v>1480</v>
      </c>
      <c r="B651" s="651"/>
      <c r="C651" s="652"/>
      <c r="D651" s="653"/>
      <c r="E651" s="653"/>
      <c r="F651" s="653"/>
      <c r="G651" s="653"/>
      <c r="H651" s="653"/>
      <c r="I651" s="654"/>
      <c r="J651" s="653"/>
      <c r="K651" s="653"/>
      <c r="L651" s="652"/>
      <c r="M651" s="652"/>
      <c r="N651" s="655"/>
    </row>
    <row r="652" spans="1:14" s="7" customFormat="1" ht="59.25" customHeight="1" x14ac:dyDescent="0.25">
      <c r="A652" s="618" t="s">
        <v>1439</v>
      </c>
      <c r="B652" s="656" t="s">
        <v>1461</v>
      </c>
      <c r="C652" s="46" t="s">
        <v>1481</v>
      </c>
      <c r="D652" s="656" t="s">
        <v>1441</v>
      </c>
      <c r="E652" s="656" t="s">
        <v>1482</v>
      </c>
      <c r="F652" s="48" t="s">
        <v>1483</v>
      </c>
      <c r="G652" s="656" t="s">
        <v>388</v>
      </c>
      <c r="H652" s="656" t="s">
        <v>1484</v>
      </c>
      <c r="I652" s="647">
        <v>1199683.07</v>
      </c>
      <c r="J652" s="48" t="s">
        <v>1485</v>
      </c>
      <c r="K652" s="48" t="s">
        <v>1486</v>
      </c>
      <c r="L652" s="657">
        <v>0.82550000000000001</v>
      </c>
      <c r="M652" s="658">
        <v>0</v>
      </c>
      <c r="N652" s="643" t="s">
        <v>1432</v>
      </c>
    </row>
    <row r="653" spans="1:14" s="7" customFormat="1" ht="38.25" x14ac:dyDescent="0.25">
      <c r="A653" s="618" t="s">
        <v>1487</v>
      </c>
      <c r="B653" s="659" t="s">
        <v>1461</v>
      </c>
      <c r="C653" s="660" t="s">
        <v>1488</v>
      </c>
      <c r="D653" s="661" t="s">
        <v>1489</v>
      </c>
      <c r="E653" s="661" t="s">
        <v>1482</v>
      </c>
      <c r="F653" s="661" t="s">
        <v>1232</v>
      </c>
      <c r="G653" s="661" t="s">
        <v>388</v>
      </c>
      <c r="H653" s="661" t="s">
        <v>1490</v>
      </c>
      <c r="I653" s="662">
        <v>2671926.44</v>
      </c>
      <c r="J653" s="661" t="s">
        <v>1491</v>
      </c>
      <c r="K653" s="661" t="s">
        <v>1492</v>
      </c>
      <c r="L653" s="663">
        <v>1</v>
      </c>
      <c r="M653" s="664">
        <v>0</v>
      </c>
      <c r="N653" s="646"/>
    </row>
    <row r="654" spans="1:14" s="7" customFormat="1" ht="38.25" x14ac:dyDescent="0.25">
      <c r="A654" s="618" t="s">
        <v>1439</v>
      </c>
      <c r="B654" s="48" t="s">
        <v>1461</v>
      </c>
      <c r="C654" s="46" t="s">
        <v>1493</v>
      </c>
      <c r="D654" s="48" t="s">
        <v>1441</v>
      </c>
      <c r="E654" s="48" t="s">
        <v>1482</v>
      </c>
      <c r="F654" s="48" t="s">
        <v>24</v>
      </c>
      <c r="G654" s="48" t="s">
        <v>388</v>
      </c>
      <c r="H654" s="48" t="s">
        <v>1494</v>
      </c>
      <c r="I654" s="647">
        <v>500000</v>
      </c>
      <c r="J654" s="48" t="s">
        <v>24</v>
      </c>
      <c r="K654" s="48" t="s">
        <v>24</v>
      </c>
      <c r="L654" s="648">
        <v>0</v>
      </c>
      <c r="M654" s="648">
        <v>0</v>
      </c>
      <c r="N654" s="623" t="s">
        <v>1435</v>
      </c>
    </row>
    <row r="655" spans="1:14" s="7" customFormat="1" ht="38.25" x14ac:dyDescent="0.25">
      <c r="A655" s="618" t="s">
        <v>1439</v>
      </c>
      <c r="B655" s="48" t="s">
        <v>1461</v>
      </c>
      <c r="C655" s="46" t="s">
        <v>1495</v>
      </c>
      <c r="D655" s="48" t="s">
        <v>1441</v>
      </c>
      <c r="E655" s="48" t="s">
        <v>1482</v>
      </c>
      <c r="F655" s="628" t="s">
        <v>1496</v>
      </c>
      <c r="G655" s="628" t="s">
        <v>388</v>
      </c>
      <c r="H655" s="629" t="s">
        <v>1465</v>
      </c>
      <c r="I655" s="665">
        <v>11893522.890000001</v>
      </c>
      <c r="J655" s="628" t="s">
        <v>1497</v>
      </c>
      <c r="K655" s="628" t="s">
        <v>1498</v>
      </c>
      <c r="L655" s="631">
        <v>1</v>
      </c>
      <c r="M655" s="631">
        <v>0.65580000000000005</v>
      </c>
      <c r="N655" s="643" t="s">
        <v>1432</v>
      </c>
    </row>
    <row r="656" spans="1:14" s="7" customFormat="1" ht="38.25" x14ac:dyDescent="0.25">
      <c r="A656" s="618" t="s">
        <v>1439</v>
      </c>
      <c r="B656" s="48" t="s">
        <v>1461</v>
      </c>
      <c r="C656" s="43" t="s">
        <v>1499</v>
      </c>
      <c r="D656" s="48" t="s">
        <v>1441</v>
      </c>
      <c r="E656" s="48" t="s">
        <v>1482</v>
      </c>
      <c r="F656" s="637"/>
      <c r="G656" s="637"/>
      <c r="H656" s="638"/>
      <c r="I656" s="666"/>
      <c r="J656" s="637"/>
      <c r="K656" s="637"/>
      <c r="L656" s="639"/>
      <c r="M656" s="639"/>
      <c r="N656" s="646"/>
    </row>
    <row r="657" spans="1:14" s="7" customFormat="1" ht="38.25" x14ac:dyDescent="0.25">
      <c r="A657" s="618" t="s">
        <v>1439</v>
      </c>
      <c r="B657" s="48" t="s">
        <v>1461</v>
      </c>
      <c r="C657" s="43" t="s">
        <v>1500</v>
      </c>
      <c r="D657" s="48" t="s">
        <v>1441</v>
      </c>
      <c r="E657" s="48" t="s">
        <v>1482</v>
      </c>
      <c r="F657" s="628" t="s">
        <v>1496</v>
      </c>
      <c r="G657" s="628" t="s">
        <v>388</v>
      </c>
      <c r="H657" s="629" t="s">
        <v>1472</v>
      </c>
      <c r="I657" s="642">
        <v>17564261.859999999</v>
      </c>
      <c r="J657" s="628" t="s">
        <v>1501</v>
      </c>
      <c r="K657" s="628" t="s">
        <v>1502</v>
      </c>
      <c r="L657" s="632">
        <v>0</v>
      </c>
      <c r="M657" s="632">
        <v>0</v>
      </c>
      <c r="N657" s="667" t="s">
        <v>1503</v>
      </c>
    </row>
    <row r="658" spans="1:14" s="7" customFormat="1" ht="38.25" x14ac:dyDescent="0.25">
      <c r="A658" s="618" t="s">
        <v>1439</v>
      </c>
      <c r="B658" s="48" t="s">
        <v>1461</v>
      </c>
      <c r="C658" s="43" t="s">
        <v>1504</v>
      </c>
      <c r="D658" s="48" t="s">
        <v>1441</v>
      </c>
      <c r="E658" s="48" t="s">
        <v>1482</v>
      </c>
      <c r="F658" s="637"/>
      <c r="G658" s="637"/>
      <c r="H658" s="638"/>
      <c r="I658" s="645"/>
      <c r="J658" s="637"/>
      <c r="K658" s="637"/>
      <c r="L658" s="640"/>
      <c r="M658" s="640"/>
      <c r="N658" s="667"/>
    </row>
    <row r="659" spans="1:14" s="7" customFormat="1" ht="38.25" x14ac:dyDescent="0.25">
      <c r="A659" s="618" t="s">
        <v>1439</v>
      </c>
      <c r="B659" s="48" t="s">
        <v>1461</v>
      </c>
      <c r="C659" s="46" t="s">
        <v>1505</v>
      </c>
      <c r="D659" s="48" t="s">
        <v>1441</v>
      </c>
      <c r="E659" s="48" t="s">
        <v>1482</v>
      </c>
      <c r="F659" s="48" t="s">
        <v>24</v>
      </c>
      <c r="G659" s="48" t="s">
        <v>388</v>
      </c>
      <c r="H659" s="48" t="s">
        <v>1506</v>
      </c>
      <c r="I659" s="647">
        <v>8000000</v>
      </c>
      <c r="J659" s="48" t="s">
        <v>24</v>
      </c>
      <c r="K659" s="48" t="s">
        <v>24</v>
      </c>
      <c r="L659" s="648">
        <v>0</v>
      </c>
      <c r="M659" s="648">
        <v>0</v>
      </c>
      <c r="N659" s="623" t="s">
        <v>1435</v>
      </c>
    </row>
    <row r="660" spans="1:14" s="7" customFormat="1" ht="15.75" x14ac:dyDescent="0.25">
      <c r="A660" s="668" t="s">
        <v>1507</v>
      </c>
      <c r="B660" s="669"/>
      <c r="C660" s="669"/>
      <c r="D660" s="669"/>
      <c r="E660" s="669"/>
      <c r="F660" s="669"/>
      <c r="G660" s="669"/>
      <c r="H660" s="669"/>
      <c r="I660" s="669"/>
      <c r="J660" s="669"/>
      <c r="K660" s="669"/>
      <c r="L660" s="669"/>
      <c r="M660" s="669"/>
      <c r="N660" s="670"/>
    </row>
    <row r="661" spans="1:14" s="7" customFormat="1" ht="51" x14ac:dyDescent="0.25">
      <c r="A661" s="46" t="s">
        <v>1439</v>
      </c>
      <c r="B661" s="671" t="s">
        <v>1461</v>
      </c>
      <c r="C661" s="672" t="s">
        <v>1508</v>
      </c>
      <c r="D661" s="673" t="s">
        <v>1441</v>
      </c>
      <c r="E661" s="671" t="s">
        <v>1509</v>
      </c>
      <c r="F661" s="674" t="s">
        <v>1510</v>
      </c>
      <c r="G661" s="675" t="s">
        <v>388</v>
      </c>
      <c r="H661" s="676" t="s">
        <v>1511</v>
      </c>
      <c r="I661" s="677">
        <v>3324000</v>
      </c>
      <c r="J661" s="661" t="s">
        <v>24</v>
      </c>
      <c r="K661" s="661" t="s">
        <v>24</v>
      </c>
      <c r="L661" s="678">
        <v>0</v>
      </c>
      <c r="M661" s="679">
        <v>0</v>
      </c>
      <c r="N661" s="623" t="s">
        <v>1435</v>
      </c>
    </row>
    <row r="662" spans="1:14" s="7" customFormat="1" ht="38.25" x14ac:dyDescent="0.25">
      <c r="A662" s="46" t="s">
        <v>1439</v>
      </c>
      <c r="B662" s="671" t="s">
        <v>1461</v>
      </c>
      <c r="C662" s="672" t="s">
        <v>1512</v>
      </c>
      <c r="D662" s="673" t="s">
        <v>1441</v>
      </c>
      <c r="E662" s="671" t="s">
        <v>1509</v>
      </c>
      <c r="F662" s="674" t="s">
        <v>1513</v>
      </c>
      <c r="G662" s="675" t="s">
        <v>388</v>
      </c>
      <c r="H662" s="676" t="s">
        <v>1484</v>
      </c>
      <c r="I662" s="677">
        <f>1000000-357516.29</f>
        <v>642483.71</v>
      </c>
      <c r="J662" s="661" t="s">
        <v>24</v>
      </c>
      <c r="K662" s="661" t="s">
        <v>24</v>
      </c>
      <c r="L662" s="678">
        <v>0</v>
      </c>
      <c r="M662" s="679">
        <v>0</v>
      </c>
      <c r="N662" s="623" t="s">
        <v>1514</v>
      </c>
    </row>
    <row r="663" spans="1:14" s="7" customFormat="1" ht="63.75" x14ac:dyDescent="0.25">
      <c r="A663" s="46" t="s">
        <v>1439</v>
      </c>
      <c r="B663" s="671" t="s">
        <v>1461</v>
      </c>
      <c r="C663" s="672" t="s">
        <v>1515</v>
      </c>
      <c r="D663" s="673" t="s">
        <v>1441</v>
      </c>
      <c r="E663" s="671" t="s">
        <v>1509</v>
      </c>
      <c r="F663" s="674" t="s">
        <v>1516</v>
      </c>
      <c r="G663" s="675" t="s">
        <v>388</v>
      </c>
      <c r="H663" s="676" t="s">
        <v>1484</v>
      </c>
      <c r="I663" s="677">
        <f>500000-87923.57</f>
        <v>412076.43</v>
      </c>
      <c r="J663" s="661" t="s">
        <v>24</v>
      </c>
      <c r="K663" s="661" t="s">
        <v>24</v>
      </c>
      <c r="L663" s="678">
        <v>1</v>
      </c>
      <c r="M663" s="679">
        <v>0</v>
      </c>
      <c r="N663" s="623" t="s">
        <v>1514</v>
      </c>
    </row>
    <row r="664" spans="1:14" s="7" customFormat="1" ht="76.5" x14ac:dyDescent="0.25">
      <c r="A664" s="618" t="s">
        <v>1517</v>
      </c>
      <c r="B664" s="680" t="s">
        <v>1461</v>
      </c>
      <c r="C664" s="681" t="s">
        <v>1518</v>
      </c>
      <c r="D664" s="682" t="s">
        <v>1519</v>
      </c>
      <c r="E664" s="680" t="s">
        <v>1509</v>
      </c>
      <c r="F664" s="48" t="s">
        <v>1520</v>
      </c>
      <c r="G664" s="683" t="s">
        <v>388</v>
      </c>
      <c r="H664" s="682" t="s">
        <v>1521</v>
      </c>
      <c r="I664" s="684">
        <v>5628946.4699999997</v>
      </c>
      <c r="J664" s="48" t="s">
        <v>1497</v>
      </c>
      <c r="K664" s="48" t="s">
        <v>1522</v>
      </c>
      <c r="L664" s="685">
        <v>0.92769999999999997</v>
      </c>
      <c r="M664" s="686">
        <v>0</v>
      </c>
      <c r="N664" s="623" t="s">
        <v>1514</v>
      </c>
    </row>
    <row r="665" spans="1:14" s="7" customFormat="1" ht="51" x14ac:dyDescent="0.25">
      <c r="A665" s="687" t="s">
        <v>1523</v>
      </c>
      <c r="B665" s="671" t="s">
        <v>1461</v>
      </c>
      <c r="C665" s="672" t="s">
        <v>1524</v>
      </c>
      <c r="D665" s="676" t="s">
        <v>1519</v>
      </c>
      <c r="E665" s="671" t="s">
        <v>1509</v>
      </c>
      <c r="F665" s="674" t="s">
        <v>1525</v>
      </c>
      <c r="G665" s="675" t="s">
        <v>388</v>
      </c>
      <c r="H665" s="676" t="s">
        <v>1526</v>
      </c>
      <c r="I665" s="677">
        <v>1892800</v>
      </c>
      <c r="J665" s="661" t="s">
        <v>24</v>
      </c>
      <c r="K665" s="661" t="s">
        <v>24</v>
      </c>
      <c r="L665" s="678">
        <v>1</v>
      </c>
      <c r="M665" s="679">
        <v>0</v>
      </c>
      <c r="N665" s="623" t="s">
        <v>1432</v>
      </c>
    </row>
    <row r="666" spans="1:14" s="7" customFormat="1" ht="20.25" customHeight="1" x14ac:dyDescent="0.25">
      <c r="A666" s="618" t="s">
        <v>1527</v>
      </c>
      <c r="B666" s="671" t="s">
        <v>1461</v>
      </c>
      <c r="C666" s="688" t="s">
        <v>1528</v>
      </c>
      <c r="D666" s="673" t="s">
        <v>1441</v>
      </c>
      <c r="E666" s="671" t="s">
        <v>1509</v>
      </c>
      <c r="F666" s="629" t="s">
        <v>1520</v>
      </c>
      <c r="G666" s="689" t="s">
        <v>388</v>
      </c>
      <c r="H666" s="690" t="s">
        <v>1465</v>
      </c>
      <c r="I666" s="691">
        <v>8889159.3699999992</v>
      </c>
      <c r="J666" s="629" t="s">
        <v>1497</v>
      </c>
      <c r="K666" s="629" t="s">
        <v>1529</v>
      </c>
      <c r="L666" s="692">
        <v>0.85870000000000002</v>
      </c>
      <c r="M666" s="692">
        <v>0.54920000000000002</v>
      </c>
      <c r="N666" s="629" t="s">
        <v>1432</v>
      </c>
    </row>
    <row r="667" spans="1:14" s="7" customFormat="1" ht="25.5" x14ac:dyDescent="0.25">
      <c r="A667" s="618" t="s">
        <v>1527</v>
      </c>
      <c r="B667" s="671" t="s">
        <v>1461</v>
      </c>
      <c r="C667" s="688" t="s">
        <v>1530</v>
      </c>
      <c r="D667" s="673" t="s">
        <v>1441</v>
      </c>
      <c r="E667" s="671" t="s">
        <v>1509</v>
      </c>
      <c r="F667" s="638"/>
      <c r="G667" s="693"/>
      <c r="H667" s="694"/>
      <c r="I667" s="691"/>
      <c r="J667" s="638"/>
      <c r="K667" s="638"/>
      <c r="L667" s="695"/>
      <c r="M667" s="695"/>
      <c r="N667" s="638"/>
    </row>
    <row r="668" spans="1:14" s="7" customFormat="1" ht="38.25" x14ac:dyDescent="0.25">
      <c r="A668" s="46" t="s">
        <v>1439</v>
      </c>
      <c r="B668" s="680" t="s">
        <v>1461</v>
      </c>
      <c r="C668" s="688" t="s">
        <v>1531</v>
      </c>
      <c r="D668" s="682" t="s">
        <v>1441</v>
      </c>
      <c r="E668" s="696" t="s">
        <v>1509</v>
      </c>
      <c r="F668" s="629" t="s">
        <v>1532</v>
      </c>
      <c r="G668" s="689" t="s">
        <v>388</v>
      </c>
      <c r="H668" s="690" t="s">
        <v>1472</v>
      </c>
      <c r="I668" s="691">
        <v>12979987.99</v>
      </c>
      <c r="J668" s="628" t="s">
        <v>24</v>
      </c>
      <c r="K668" s="628" t="s">
        <v>24</v>
      </c>
      <c r="L668" s="697">
        <v>0</v>
      </c>
      <c r="M668" s="697">
        <v>0</v>
      </c>
      <c r="N668" s="698" t="s">
        <v>1435</v>
      </c>
    </row>
    <row r="669" spans="1:14" s="7" customFormat="1" ht="38.25" x14ac:dyDescent="0.25">
      <c r="A669" s="46" t="s">
        <v>1439</v>
      </c>
      <c r="B669" s="680" t="s">
        <v>1461</v>
      </c>
      <c r="C669" s="688" t="s">
        <v>1533</v>
      </c>
      <c r="D669" s="682" t="s">
        <v>1441</v>
      </c>
      <c r="E669" s="696" t="s">
        <v>1509</v>
      </c>
      <c r="F669" s="634"/>
      <c r="G669" s="699"/>
      <c r="H669" s="700"/>
      <c r="I669" s="691"/>
      <c r="J669" s="633"/>
      <c r="K669" s="633"/>
      <c r="L669" s="701"/>
      <c r="M669" s="701"/>
      <c r="N669" s="702"/>
    </row>
    <row r="670" spans="1:14" s="7" customFormat="1" ht="38.25" x14ac:dyDescent="0.25">
      <c r="A670" s="46" t="s">
        <v>1439</v>
      </c>
      <c r="B670" s="680" t="s">
        <v>1461</v>
      </c>
      <c r="C670" s="688" t="s">
        <v>1470</v>
      </c>
      <c r="D670" s="682" t="s">
        <v>1441</v>
      </c>
      <c r="E670" s="696" t="s">
        <v>1509</v>
      </c>
      <c r="F670" s="634"/>
      <c r="G670" s="699"/>
      <c r="H670" s="700"/>
      <c r="I670" s="691"/>
      <c r="J670" s="633"/>
      <c r="K670" s="633"/>
      <c r="L670" s="701"/>
      <c r="M670" s="701"/>
      <c r="N670" s="702"/>
    </row>
    <row r="671" spans="1:14" s="7" customFormat="1" ht="38.25" x14ac:dyDescent="0.25">
      <c r="A671" s="46" t="s">
        <v>1439</v>
      </c>
      <c r="B671" s="680" t="s">
        <v>1461</v>
      </c>
      <c r="C671" s="688" t="s">
        <v>1534</v>
      </c>
      <c r="D671" s="682" t="s">
        <v>1441</v>
      </c>
      <c r="E671" s="696" t="s">
        <v>1509</v>
      </c>
      <c r="F671" s="634"/>
      <c r="G671" s="699"/>
      <c r="H671" s="700"/>
      <c r="I671" s="691"/>
      <c r="J671" s="633"/>
      <c r="K671" s="633"/>
      <c r="L671" s="701"/>
      <c r="M671" s="701"/>
      <c r="N671" s="702"/>
    </row>
    <row r="672" spans="1:14" s="7" customFormat="1" ht="38.25" x14ac:dyDescent="0.25">
      <c r="A672" s="46" t="s">
        <v>1439</v>
      </c>
      <c r="B672" s="680" t="s">
        <v>1461</v>
      </c>
      <c r="C672" s="688" t="s">
        <v>1535</v>
      </c>
      <c r="D672" s="682" t="s">
        <v>1441</v>
      </c>
      <c r="E672" s="696" t="s">
        <v>1509</v>
      </c>
      <c r="F672" s="638"/>
      <c r="G672" s="693"/>
      <c r="H672" s="694"/>
      <c r="I672" s="691"/>
      <c r="J672" s="637"/>
      <c r="K672" s="637"/>
      <c r="L672" s="703"/>
      <c r="M672" s="703"/>
      <c r="N672" s="704"/>
    </row>
    <row r="673" spans="1:14" s="7" customFormat="1" ht="63.75" x14ac:dyDescent="0.25">
      <c r="A673" s="46" t="s">
        <v>1439</v>
      </c>
      <c r="B673" s="696" t="s">
        <v>1461</v>
      </c>
      <c r="C673" s="688" t="s">
        <v>1536</v>
      </c>
      <c r="D673" s="673" t="s">
        <v>1441</v>
      </c>
      <c r="E673" s="696" t="s">
        <v>1509</v>
      </c>
      <c r="F673" s="30" t="s">
        <v>1516</v>
      </c>
      <c r="G673" s="705" t="s">
        <v>388</v>
      </c>
      <c r="H673" s="673" t="s">
        <v>1537</v>
      </c>
      <c r="I673" s="706">
        <v>6000000</v>
      </c>
      <c r="J673" s="30" t="s">
        <v>24</v>
      </c>
      <c r="K673" s="30" t="s">
        <v>24</v>
      </c>
      <c r="L673" s="707">
        <v>1</v>
      </c>
      <c r="M673" s="707">
        <v>0</v>
      </c>
      <c r="N673" s="48" t="s">
        <v>1435</v>
      </c>
    </row>
    <row r="674" spans="1:14" s="7" customFormat="1" ht="15.75" x14ac:dyDescent="0.25">
      <c r="A674" s="668" t="s">
        <v>1538</v>
      </c>
      <c r="B674" s="669"/>
      <c r="C674" s="669"/>
      <c r="D674" s="669"/>
      <c r="E674" s="669"/>
      <c r="F674" s="669"/>
      <c r="G674" s="669"/>
      <c r="H674" s="669"/>
      <c r="I674" s="669"/>
      <c r="J674" s="669"/>
      <c r="K674" s="669"/>
      <c r="L674" s="669"/>
      <c r="M674" s="669"/>
      <c r="N674" s="670"/>
    </row>
    <row r="675" spans="1:14" s="7" customFormat="1" ht="51" x14ac:dyDescent="0.25">
      <c r="A675" s="618" t="s">
        <v>1439</v>
      </c>
      <c r="B675" s="680" t="s">
        <v>1461</v>
      </c>
      <c r="C675" s="681" t="s">
        <v>1539</v>
      </c>
      <c r="D675" s="682" t="s">
        <v>1441</v>
      </c>
      <c r="E675" s="680" t="s">
        <v>1540</v>
      </c>
      <c r="F675" s="48" t="s">
        <v>1541</v>
      </c>
      <c r="G675" s="683" t="s">
        <v>388</v>
      </c>
      <c r="H675" s="682" t="s">
        <v>1542</v>
      </c>
      <c r="I675" s="684">
        <v>4173289.77</v>
      </c>
      <c r="J675" s="708" t="s">
        <v>1543</v>
      </c>
      <c r="K675" s="708" t="s">
        <v>1544</v>
      </c>
      <c r="L675" s="707">
        <v>1</v>
      </c>
      <c r="M675" s="679">
        <v>0</v>
      </c>
      <c r="N675" s="709" t="s">
        <v>1545</v>
      </c>
    </row>
    <row r="676" spans="1:14" s="7" customFormat="1" ht="63.75" x14ac:dyDescent="0.25">
      <c r="A676" s="618" t="s">
        <v>1439</v>
      </c>
      <c r="B676" s="680" t="s">
        <v>1461</v>
      </c>
      <c r="C676" s="681" t="s">
        <v>1546</v>
      </c>
      <c r="D676" s="682" t="s">
        <v>1441</v>
      </c>
      <c r="E676" s="680" t="s">
        <v>1540</v>
      </c>
      <c r="F676" s="30" t="s">
        <v>1547</v>
      </c>
      <c r="G676" s="683" t="s">
        <v>388</v>
      </c>
      <c r="H676" s="682" t="s">
        <v>1511</v>
      </c>
      <c r="I676" s="684">
        <v>4995000</v>
      </c>
      <c r="J676" s="48" t="s">
        <v>1548</v>
      </c>
      <c r="K676" s="48" t="s">
        <v>1549</v>
      </c>
      <c r="L676" s="685">
        <v>0.44500000000000001</v>
      </c>
      <c r="M676" s="686">
        <v>0</v>
      </c>
      <c r="N676" s="709" t="s">
        <v>1432</v>
      </c>
    </row>
    <row r="677" spans="1:14" s="7" customFormat="1" ht="51" x14ac:dyDescent="0.25">
      <c r="A677" s="618" t="s">
        <v>1439</v>
      </c>
      <c r="B677" s="680" t="s">
        <v>1461</v>
      </c>
      <c r="C677" s="710" t="s">
        <v>1550</v>
      </c>
      <c r="D677" s="682" t="s">
        <v>1441</v>
      </c>
      <c r="E677" s="680" t="s">
        <v>1540</v>
      </c>
      <c r="F677" s="711" t="s">
        <v>1551</v>
      </c>
      <c r="G677" s="683" t="s">
        <v>388</v>
      </c>
      <c r="H677" s="682" t="s">
        <v>1552</v>
      </c>
      <c r="I677" s="684">
        <f>2620000-9063.64</f>
        <v>2610936.36</v>
      </c>
      <c r="J677" s="48" t="s">
        <v>1553</v>
      </c>
      <c r="K677" s="48" t="s">
        <v>1554</v>
      </c>
      <c r="L677" s="685">
        <v>0.72219999999999995</v>
      </c>
      <c r="M677" s="686">
        <v>0</v>
      </c>
      <c r="N677" s="709" t="s">
        <v>1432</v>
      </c>
    </row>
    <row r="678" spans="1:14" s="7" customFormat="1" ht="89.25" x14ac:dyDescent="0.25">
      <c r="A678" s="618" t="s">
        <v>1439</v>
      </c>
      <c r="B678" s="680" t="s">
        <v>1461</v>
      </c>
      <c r="C678" s="712" t="s">
        <v>1555</v>
      </c>
      <c r="D678" s="682" t="s">
        <v>1441</v>
      </c>
      <c r="E678" s="680" t="s">
        <v>1540</v>
      </c>
      <c r="F678" s="48" t="s">
        <v>1438</v>
      </c>
      <c r="G678" s="683" t="s">
        <v>388</v>
      </c>
      <c r="H678" s="682" t="s">
        <v>1444</v>
      </c>
      <c r="I678" s="684">
        <v>1494989.39</v>
      </c>
      <c r="J678" s="48" t="s">
        <v>1466</v>
      </c>
      <c r="K678" s="48" t="s">
        <v>1556</v>
      </c>
      <c r="L678" s="685">
        <v>0.95830000000000004</v>
      </c>
      <c r="M678" s="686">
        <v>0</v>
      </c>
      <c r="N678" s="709" t="s">
        <v>1432</v>
      </c>
    </row>
    <row r="679" spans="1:14" s="7" customFormat="1" ht="63.75" x14ac:dyDescent="0.25">
      <c r="A679" s="618" t="s">
        <v>1439</v>
      </c>
      <c r="B679" s="680" t="s">
        <v>1461</v>
      </c>
      <c r="C679" s="712" t="s">
        <v>1557</v>
      </c>
      <c r="D679" s="682" t="s">
        <v>1441</v>
      </c>
      <c r="E679" s="680" t="s">
        <v>1540</v>
      </c>
      <c r="F679" s="661" t="s">
        <v>1558</v>
      </c>
      <c r="G679" s="683" t="s">
        <v>388</v>
      </c>
      <c r="H679" s="682" t="s">
        <v>1490</v>
      </c>
      <c r="I679" s="713">
        <v>3248378.08</v>
      </c>
      <c r="J679" s="48" t="s">
        <v>1559</v>
      </c>
      <c r="K679" s="48" t="s">
        <v>1560</v>
      </c>
      <c r="L679" s="685">
        <v>1</v>
      </c>
      <c r="M679" s="686">
        <v>0.92</v>
      </c>
      <c r="N679" s="709" t="s">
        <v>1545</v>
      </c>
    </row>
    <row r="680" spans="1:14" s="7" customFormat="1" ht="38.25" x14ac:dyDescent="0.25">
      <c r="A680" s="618" t="s">
        <v>1439</v>
      </c>
      <c r="B680" s="680" t="s">
        <v>1461</v>
      </c>
      <c r="C680" s="43" t="s">
        <v>1561</v>
      </c>
      <c r="D680" s="682" t="s">
        <v>1441</v>
      </c>
      <c r="E680" s="680" t="s">
        <v>1540</v>
      </c>
      <c r="F680" s="628" t="s">
        <v>1558</v>
      </c>
      <c r="G680" s="675" t="s">
        <v>388</v>
      </c>
      <c r="H680" s="690" t="s">
        <v>1465</v>
      </c>
      <c r="I680" s="691">
        <v>9833468.75</v>
      </c>
      <c r="J680" s="628" t="s">
        <v>1497</v>
      </c>
      <c r="K680" s="628" t="s">
        <v>1562</v>
      </c>
      <c r="L680" s="714">
        <v>1</v>
      </c>
      <c r="M680" s="714">
        <v>0.42080000000000001</v>
      </c>
      <c r="N680" s="629" t="s">
        <v>1432</v>
      </c>
    </row>
    <row r="681" spans="1:14" s="7" customFormat="1" ht="38.25" x14ac:dyDescent="0.25">
      <c r="A681" s="618" t="s">
        <v>1439</v>
      </c>
      <c r="B681" s="680" t="s">
        <v>1461</v>
      </c>
      <c r="C681" s="43" t="s">
        <v>1563</v>
      </c>
      <c r="D681" s="682" t="s">
        <v>1441</v>
      </c>
      <c r="E681" s="680" t="s">
        <v>1540</v>
      </c>
      <c r="F681" s="637"/>
      <c r="G681" s="675" t="s">
        <v>388</v>
      </c>
      <c r="H681" s="694"/>
      <c r="I681" s="691"/>
      <c r="J681" s="637"/>
      <c r="K681" s="637"/>
      <c r="L681" s="715"/>
      <c r="M681" s="715"/>
      <c r="N681" s="638"/>
    </row>
    <row r="682" spans="1:14" s="7" customFormat="1" ht="38.25" x14ac:dyDescent="0.25">
      <c r="A682" s="618" t="s">
        <v>1439</v>
      </c>
      <c r="B682" s="680" t="s">
        <v>1461</v>
      </c>
      <c r="C682" s="716" t="s">
        <v>1564</v>
      </c>
      <c r="D682" s="682" t="s">
        <v>1441</v>
      </c>
      <c r="E682" s="680" t="s">
        <v>1540</v>
      </c>
      <c r="F682" s="629" t="s">
        <v>1510</v>
      </c>
      <c r="G682" s="675" t="s">
        <v>388</v>
      </c>
      <c r="H682" s="690" t="s">
        <v>1472</v>
      </c>
      <c r="I682" s="691">
        <v>5999445.5499999998</v>
      </c>
      <c r="J682" s="628" t="s">
        <v>1485</v>
      </c>
      <c r="K682" s="628" t="s">
        <v>1565</v>
      </c>
      <c r="L682" s="714">
        <v>1</v>
      </c>
      <c r="M682" s="697">
        <v>0</v>
      </c>
      <c r="N682" s="698" t="s">
        <v>1432</v>
      </c>
    </row>
    <row r="683" spans="1:14" s="7" customFormat="1" ht="38.25" x14ac:dyDescent="0.25">
      <c r="A683" s="618" t="s">
        <v>1439</v>
      </c>
      <c r="B683" s="680" t="s">
        <v>1461</v>
      </c>
      <c r="C683" s="717" t="s">
        <v>1566</v>
      </c>
      <c r="D683" s="682" t="s">
        <v>1441</v>
      </c>
      <c r="E683" s="680" t="s">
        <v>1540</v>
      </c>
      <c r="F683" s="634"/>
      <c r="G683" s="675" t="s">
        <v>388</v>
      </c>
      <c r="H683" s="694"/>
      <c r="I683" s="691"/>
      <c r="J683" s="637"/>
      <c r="K683" s="637"/>
      <c r="L683" s="715"/>
      <c r="M683" s="703"/>
      <c r="N683" s="704"/>
    </row>
    <row r="684" spans="1:14" s="7" customFormat="1" ht="38.25" x14ac:dyDescent="0.25">
      <c r="A684" s="618" t="s">
        <v>1439</v>
      </c>
      <c r="B684" s="680" t="s">
        <v>1461</v>
      </c>
      <c r="C684" s="712" t="s">
        <v>1567</v>
      </c>
      <c r="D684" s="682" t="s">
        <v>1441</v>
      </c>
      <c r="E684" s="680" t="s">
        <v>1540</v>
      </c>
      <c r="F684" s="48" t="s">
        <v>24</v>
      </c>
      <c r="G684" s="683" t="s">
        <v>388</v>
      </c>
      <c r="H684" s="682" t="s">
        <v>1568</v>
      </c>
      <c r="I684" s="713">
        <v>770000</v>
      </c>
      <c r="J684" s="48" t="s">
        <v>24</v>
      </c>
      <c r="K684" s="48" t="s">
        <v>24</v>
      </c>
      <c r="L684" s="685" t="s">
        <v>24</v>
      </c>
      <c r="M684" s="686" t="s">
        <v>24</v>
      </c>
      <c r="N684" s="709" t="s">
        <v>1435</v>
      </c>
    </row>
    <row r="685" spans="1:14" s="7" customFormat="1" ht="15.75" x14ac:dyDescent="0.25">
      <c r="A685" s="718" t="s">
        <v>1569</v>
      </c>
      <c r="B685" s="719"/>
      <c r="C685" s="719"/>
      <c r="D685" s="720"/>
      <c r="E685" s="720"/>
      <c r="F685" s="720"/>
      <c r="G685" s="720"/>
      <c r="H685" s="720"/>
      <c r="I685" s="721"/>
      <c r="J685" s="720"/>
      <c r="K685" s="720"/>
      <c r="L685" s="719"/>
      <c r="M685" s="719"/>
      <c r="N685" s="722"/>
    </row>
    <row r="686" spans="1:14" s="7" customFormat="1" ht="38.25" x14ac:dyDescent="0.25">
      <c r="A686" s="618" t="s">
        <v>1439</v>
      </c>
      <c r="B686" s="723" t="s">
        <v>1461</v>
      </c>
      <c r="C686" s="46" t="s">
        <v>1570</v>
      </c>
      <c r="D686" s="724" t="s">
        <v>1441</v>
      </c>
      <c r="E686" s="723" t="s">
        <v>1571</v>
      </c>
      <c r="F686" s="661" t="s">
        <v>24</v>
      </c>
      <c r="G686" s="725" t="s">
        <v>388</v>
      </c>
      <c r="H686" s="682" t="s">
        <v>1572</v>
      </c>
      <c r="I686" s="684">
        <v>670000</v>
      </c>
      <c r="J686" s="661" t="s">
        <v>24</v>
      </c>
      <c r="K686" s="661" t="s">
        <v>24</v>
      </c>
      <c r="L686" s="726">
        <v>0</v>
      </c>
      <c r="M686" s="727">
        <v>0</v>
      </c>
      <c r="N686" s="728" t="s">
        <v>1435</v>
      </c>
    </row>
    <row r="687" spans="1:14" s="7" customFormat="1" ht="89.25" x14ac:dyDescent="0.25">
      <c r="A687" s="618" t="s">
        <v>1439</v>
      </c>
      <c r="B687" s="723" t="s">
        <v>1461</v>
      </c>
      <c r="C687" s="46" t="s">
        <v>1573</v>
      </c>
      <c r="D687" s="724" t="s">
        <v>1441</v>
      </c>
      <c r="E687" s="723" t="s">
        <v>1571</v>
      </c>
      <c r="F687" s="661" t="s">
        <v>1438</v>
      </c>
      <c r="G687" s="725" t="s">
        <v>388</v>
      </c>
      <c r="H687" s="682" t="s">
        <v>1572</v>
      </c>
      <c r="I687" s="684">
        <v>1092896.98</v>
      </c>
      <c r="J687" s="661" t="s">
        <v>24</v>
      </c>
      <c r="K687" s="661" t="s">
        <v>24</v>
      </c>
      <c r="L687" s="726">
        <v>0</v>
      </c>
      <c r="M687" s="727">
        <v>0</v>
      </c>
      <c r="N687" s="728" t="s">
        <v>1435</v>
      </c>
    </row>
    <row r="688" spans="1:14" s="7" customFormat="1" ht="38.25" x14ac:dyDescent="0.25">
      <c r="A688" s="46" t="s">
        <v>1439</v>
      </c>
      <c r="B688" s="680" t="s">
        <v>1461</v>
      </c>
      <c r="C688" s="716" t="s">
        <v>1574</v>
      </c>
      <c r="D688" s="682" t="s">
        <v>1441</v>
      </c>
      <c r="E688" s="680" t="s">
        <v>1571</v>
      </c>
      <c r="F688" s="30" t="s">
        <v>1575</v>
      </c>
      <c r="G688" s="705" t="s">
        <v>388</v>
      </c>
      <c r="H688" s="673" t="s">
        <v>1448</v>
      </c>
      <c r="I688" s="729">
        <v>3153697.39</v>
      </c>
      <c r="J688" s="48" t="s">
        <v>1576</v>
      </c>
      <c r="K688" s="48" t="s">
        <v>1577</v>
      </c>
      <c r="L688" s="685">
        <v>0.77010000000000001</v>
      </c>
      <c r="M688" s="730">
        <v>0</v>
      </c>
      <c r="N688" s="623" t="s">
        <v>1432</v>
      </c>
    </row>
    <row r="689" spans="1:14" s="7" customFormat="1" ht="38.25" x14ac:dyDescent="0.25">
      <c r="A689" s="731" t="s">
        <v>1439</v>
      </c>
      <c r="B689" s="680" t="s">
        <v>1461</v>
      </c>
      <c r="C689" s="43" t="s">
        <v>1578</v>
      </c>
      <c r="D689" s="682" t="s">
        <v>1441</v>
      </c>
      <c r="E689" s="723" t="s">
        <v>1571</v>
      </c>
      <c r="F689" s="628" t="s">
        <v>1579</v>
      </c>
      <c r="G689" s="683" t="s">
        <v>388</v>
      </c>
      <c r="H689" s="690" t="s">
        <v>1465</v>
      </c>
      <c r="I689" s="691">
        <v>9986671.6699999999</v>
      </c>
      <c r="J689" s="628" t="s">
        <v>1485</v>
      </c>
      <c r="K689" s="628" t="s">
        <v>1580</v>
      </c>
      <c r="L689" s="714">
        <v>0.55700000000000005</v>
      </c>
      <c r="M689" s="697">
        <v>0</v>
      </c>
      <c r="N689" s="732" t="s">
        <v>1432</v>
      </c>
    </row>
    <row r="690" spans="1:14" s="7" customFormat="1" ht="38.25" x14ac:dyDescent="0.25">
      <c r="A690" s="731" t="s">
        <v>1439</v>
      </c>
      <c r="B690" s="680" t="s">
        <v>1461</v>
      </c>
      <c r="C690" s="43" t="s">
        <v>1581</v>
      </c>
      <c r="D690" s="682" t="s">
        <v>1441</v>
      </c>
      <c r="E690" s="723" t="s">
        <v>1571</v>
      </c>
      <c r="F690" s="637"/>
      <c r="G690" s="683" t="s">
        <v>388</v>
      </c>
      <c r="H690" s="694"/>
      <c r="I690" s="691"/>
      <c r="J690" s="637"/>
      <c r="K690" s="637"/>
      <c r="L690" s="715"/>
      <c r="M690" s="703"/>
      <c r="N690" s="733"/>
    </row>
    <row r="691" spans="1:14" s="7" customFormat="1" ht="76.5" x14ac:dyDescent="0.25">
      <c r="A691" s="618" t="s">
        <v>1439</v>
      </c>
      <c r="B691" s="680" t="s">
        <v>1461</v>
      </c>
      <c r="C691" s="46" t="s">
        <v>1582</v>
      </c>
      <c r="D691" s="724" t="s">
        <v>1441</v>
      </c>
      <c r="E691" s="723" t="s">
        <v>1571</v>
      </c>
      <c r="F691" s="661" t="s">
        <v>1583</v>
      </c>
      <c r="G691" s="725" t="s">
        <v>388</v>
      </c>
      <c r="H691" s="682"/>
      <c r="I691" s="684">
        <v>1994383.5</v>
      </c>
      <c r="J691" s="48" t="s">
        <v>24</v>
      </c>
      <c r="K691" s="48" t="s">
        <v>24</v>
      </c>
      <c r="L691" s="730">
        <v>0</v>
      </c>
      <c r="M691" s="730">
        <v>0</v>
      </c>
      <c r="N691" s="734" t="s">
        <v>1435</v>
      </c>
    </row>
    <row r="692" spans="1:14" s="7" customFormat="1" ht="15.75" x14ac:dyDescent="0.25">
      <c r="A692" s="735" t="s">
        <v>1584</v>
      </c>
      <c r="B692" s="736"/>
      <c r="C692" s="737"/>
      <c r="D692" s="738"/>
      <c r="E692" s="738"/>
      <c r="F692" s="738"/>
      <c r="G692" s="738"/>
      <c r="H692" s="738"/>
      <c r="I692" s="739"/>
      <c r="J692" s="738"/>
      <c r="K692" s="738"/>
      <c r="L692" s="737"/>
      <c r="M692" s="737"/>
      <c r="N692" s="740"/>
    </row>
    <row r="693" spans="1:14" s="7" customFormat="1" ht="89.25" x14ac:dyDescent="0.25">
      <c r="A693" s="618" t="s">
        <v>1439</v>
      </c>
      <c r="B693" s="48" t="s">
        <v>1461</v>
      </c>
      <c r="C693" s="46" t="s">
        <v>1585</v>
      </c>
      <c r="D693" s="48" t="s">
        <v>1545</v>
      </c>
      <c r="E693" s="680" t="s">
        <v>1586</v>
      </c>
      <c r="F693" s="682" t="s">
        <v>1438</v>
      </c>
      <c r="G693" s="656" t="s">
        <v>388</v>
      </c>
      <c r="H693" s="48" t="s">
        <v>1572</v>
      </c>
      <c r="I693" s="741">
        <v>299497.59999999998</v>
      </c>
      <c r="J693" s="682" t="s">
        <v>24</v>
      </c>
      <c r="K693" s="682" t="s">
        <v>24</v>
      </c>
      <c r="L693" s="742">
        <v>0</v>
      </c>
      <c r="M693" s="743">
        <v>0</v>
      </c>
      <c r="N693" s="744" t="s">
        <v>1587</v>
      </c>
    </row>
    <row r="694" spans="1:14" s="7" customFormat="1" ht="38.25" x14ac:dyDescent="0.25">
      <c r="A694" s="618" t="s">
        <v>1439</v>
      </c>
      <c r="B694" s="680" t="s">
        <v>1461</v>
      </c>
      <c r="C694" s="688" t="s">
        <v>1588</v>
      </c>
      <c r="D694" s="682" t="s">
        <v>1441</v>
      </c>
      <c r="E694" s="680" t="s">
        <v>1586</v>
      </c>
      <c r="F694" s="48" t="s">
        <v>1589</v>
      </c>
      <c r="G694" s="683" t="s">
        <v>388</v>
      </c>
      <c r="H694" s="682" t="s">
        <v>1590</v>
      </c>
      <c r="I694" s="713">
        <v>24489270.850000001</v>
      </c>
      <c r="J694" s="48" t="s">
        <v>1591</v>
      </c>
      <c r="K694" s="48" t="s">
        <v>1592</v>
      </c>
      <c r="L694" s="685">
        <v>0.55500000000000005</v>
      </c>
      <c r="M694" s="686">
        <v>0</v>
      </c>
      <c r="N694" s="623" t="s">
        <v>1593</v>
      </c>
    </row>
    <row r="695" spans="1:14" s="7" customFormat="1" ht="51" x14ac:dyDescent="0.25">
      <c r="A695" s="618" t="s">
        <v>1439</v>
      </c>
      <c r="B695" s="48" t="s">
        <v>1461</v>
      </c>
      <c r="C695" s="745" t="s">
        <v>1594</v>
      </c>
      <c r="D695" s="682" t="s">
        <v>1441</v>
      </c>
      <c r="E695" s="680" t="s">
        <v>1586</v>
      </c>
      <c r="F695" s="682" t="s">
        <v>1595</v>
      </c>
      <c r="G695" s="656" t="s">
        <v>388</v>
      </c>
      <c r="H695" s="48" t="s">
        <v>1444</v>
      </c>
      <c r="I695" s="746">
        <v>3307571.72</v>
      </c>
      <c r="J695" s="682" t="s">
        <v>1559</v>
      </c>
      <c r="K695" s="682" t="s">
        <v>1596</v>
      </c>
      <c r="L695" s="685">
        <v>1</v>
      </c>
      <c r="M695" s="743">
        <v>0</v>
      </c>
      <c r="N695" s="623" t="s">
        <v>1432</v>
      </c>
    </row>
    <row r="696" spans="1:14" s="7" customFormat="1" ht="51" x14ac:dyDescent="0.25">
      <c r="A696" s="618" t="s">
        <v>1439</v>
      </c>
      <c r="B696" s="680" t="s">
        <v>1461</v>
      </c>
      <c r="C696" s="712" t="s">
        <v>1557</v>
      </c>
      <c r="D696" s="682" t="s">
        <v>1441</v>
      </c>
      <c r="E696" s="680" t="s">
        <v>1586</v>
      </c>
      <c r="F696" s="48" t="s">
        <v>1595</v>
      </c>
      <c r="G696" s="683" t="s">
        <v>388</v>
      </c>
      <c r="H696" s="682" t="s">
        <v>1490</v>
      </c>
      <c r="I696" s="713">
        <v>3613896.98</v>
      </c>
      <c r="J696" s="682" t="s">
        <v>1559</v>
      </c>
      <c r="K696" s="682" t="s">
        <v>1597</v>
      </c>
      <c r="L696" s="685">
        <v>1</v>
      </c>
      <c r="M696" s="686">
        <v>0.92049999999999998</v>
      </c>
      <c r="N696" s="623" t="s">
        <v>1432</v>
      </c>
    </row>
    <row r="697" spans="1:14" s="7" customFormat="1" ht="51" x14ac:dyDescent="0.25">
      <c r="A697" s="618" t="s">
        <v>1439</v>
      </c>
      <c r="B697" s="680" t="s">
        <v>1461</v>
      </c>
      <c r="C697" s="712" t="s">
        <v>1598</v>
      </c>
      <c r="D697" s="682" t="s">
        <v>1441</v>
      </c>
      <c r="E697" s="680" t="s">
        <v>1586</v>
      </c>
      <c r="F697" s="48" t="s">
        <v>1599</v>
      </c>
      <c r="G697" s="683" t="s">
        <v>388</v>
      </c>
      <c r="H697" s="48" t="s">
        <v>1448</v>
      </c>
      <c r="I697" s="713">
        <v>5106029.82</v>
      </c>
      <c r="J697" s="682" t="s">
        <v>1600</v>
      </c>
      <c r="K697" s="682" t="s">
        <v>1601</v>
      </c>
      <c r="L697" s="685">
        <v>0.71879999999999999</v>
      </c>
      <c r="M697" s="686">
        <v>0</v>
      </c>
      <c r="N697" s="623" t="s">
        <v>1432</v>
      </c>
    </row>
    <row r="698" spans="1:14" s="7" customFormat="1" ht="38.25" x14ac:dyDescent="0.25">
      <c r="A698" s="618" t="s">
        <v>1439</v>
      </c>
      <c r="B698" s="680" t="s">
        <v>1461</v>
      </c>
      <c r="C698" s="712" t="s">
        <v>1602</v>
      </c>
      <c r="D698" s="682" t="s">
        <v>1441</v>
      </c>
      <c r="E698" s="680" t="s">
        <v>1586</v>
      </c>
      <c r="F698" s="682" t="s">
        <v>24</v>
      </c>
      <c r="G698" s="683" t="s">
        <v>388</v>
      </c>
      <c r="H698" s="48" t="s">
        <v>1448</v>
      </c>
      <c r="I698" s="713">
        <v>510000</v>
      </c>
      <c r="J698" s="682" t="s">
        <v>24</v>
      </c>
      <c r="K698" s="682" t="s">
        <v>24</v>
      </c>
      <c r="L698" s="682" t="s">
        <v>24</v>
      </c>
      <c r="M698" s="682" t="s">
        <v>24</v>
      </c>
      <c r="N698" s="744" t="s">
        <v>1587</v>
      </c>
    </row>
    <row r="699" spans="1:14" s="7" customFormat="1" ht="38.25" x14ac:dyDescent="0.25">
      <c r="A699" s="618" t="s">
        <v>1439</v>
      </c>
      <c r="B699" s="680" t="s">
        <v>1461</v>
      </c>
      <c r="C699" s="660" t="s">
        <v>1534</v>
      </c>
      <c r="D699" s="682" t="s">
        <v>1441</v>
      </c>
      <c r="E699" s="48" t="s">
        <v>1586</v>
      </c>
      <c r="F699" s="629" t="s">
        <v>1603</v>
      </c>
      <c r="G699" s="675" t="s">
        <v>388</v>
      </c>
      <c r="H699" s="690" t="s">
        <v>1472</v>
      </c>
      <c r="I699" s="691">
        <v>4836196.59</v>
      </c>
      <c r="J699" s="628" t="s">
        <v>1604</v>
      </c>
      <c r="K699" s="628" t="s">
        <v>1605</v>
      </c>
      <c r="L699" s="714">
        <v>0.98380000000000001</v>
      </c>
      <c r="M699" s="697">
        <v>0</v>
      </c>
      <c r="N699" s="732" t="s">
        <v>1432</v>
      </c>
    </row>
    <row r="700" spans="1:14" s="7" customFormat="1" ht="38.25" x14ac:dyDescent="0.25">
      <c r="A700" s="618" t="s">
        <v>1439</v>
      </c>
      <c r="B700" s="680" t="s">
        <v>1461</v>
      </c>
      <c r="C700" s="660" t="s">
        <v>1470</v>
      </c>
      <c r="D700" s="682" t="s">
        <v>1441</v>
      </c>
      <c r="E700" s="48" t="s">
        <v>1586</v>
      </c>
      <c r="F700" s="638"/>
      <c r="G700" s="675" t="s">
        <v>388</v>
      </c>
      <c r="H700" s="694"/>
      <c r="I700" s="691"/>
      <c r="J700" s="637"/>
      <c r="K700" s="637"/>
      <c r="L700" s="715"/>
      <c r="M700" s="703"/>
      <c r="N700" s="747"/>
    </row>
    <row r="701" spans="1:14" s="7" customFormat="1" ht="38.25" x14ac:dyDescent="0.25">
      <c r="A701" s="618" t="s">
        <v>1439</v>
      </c>
      <c r="B701" s="680" t="s">
        <v>1461</v>
      </c>
      <c r="C701" s="688" t="s">
        <v>1606</v>
      </c>
      <c r="D701" s="682" t="s">
        <v>1441</v>
      </c>
      <c r="E701" s="48" t="s">
        <v>1586</v>
      </c>
      <c r="F701" s="48" t="s">
        <v>24</v>
      </c>
      <c r="G701" s="705" t="s">
        <v>388</v>
      </c>
      <c r="H701" s="682" t="s">
        <v>1607</v>
      </c>
      <c r="I701" s="713">
        <v>2000000</v>
      </c>
      <c r="J701" s="682" t="s">
        <v>24</v>
      </c>
      <c r="K701" s="682" t="s">
        <v>24</v>
      </c>
      <c r="L701" s="742">
        <v>0</v>
      </c>
      <c r="M701" s="743">
        <v>0</v>
      </c>
      <c r="N701" s="744" t="s">
        <v>1587</v>
      </c>
    </row>
    <row r="702" spans="1:14" s="7" customFormat="1" ht="15.75" x14ac:dyDescent="0.25">
      <c r="A702" s="735" t="s">
        <v>1608</v>
      </c>
      <c r="B702" s="736"/>
      <c r="C702" s="737"/>
      <c r="D702" s="738"/>
      <c r="E702" s="738"/>
      <c r="F702" s="738"/>
      <c r="G702" s="738"/>
      <c r="H702" s="738"/>
      <c r="I702" s="739"/>
      <c r="J702" s="738"/>
      <c r="K702" s="738"/>
      <c r="L702" s="737"/>
      <c r="M702" s="737"/>
      <c r="N702" s="748"/>
    </row>
    <row r="703" spans="1:14" s="7" customFormat="1" ht="63.75" x14ac:dyDescent="0.25">
      <c r="A703" s="618" t="s">
        <v>1439</v>
      </c>
      <c r="B703" s="619" t="s">
        <v>1461</v>
      </c>
      <c r="C703" s="46" t="s">
        <v>1609</v>
      </c>
      <c r="D703" s="48" t="s">
        <v>1545</v>
      </c>
      <c r="E703" s="619" t="s">
        <v>1610</v>
      </c>
      <c r="F703" s="48" t="s">
        <v>1516</v>
      </c>
      <c r="G703" s="48" t="s">
        <v>388</v>
      </c>
      <c r="H703" s="48" t="s">
        <v>1611</v>
      </c>
      <c r="I703" s="647">
        <v>1167626.25</v>
      </c>
      <c r="J703" s="48" t="s">
        <v>1612</v>
      </c>
      <c r="K703" s="48" t="s">
        <v>1613</v>
      </c>
      <c r="L703" s="749">
        <v>0.49609999999999999</v>
      </c>
      <c r="M703" s="743">
        <v>0</v>
      </c>
      <c r="N703" s="623" t="s">
        <v>1432</v>
      </c>
    </row>
    <row r="704" spans="1:14" s="7" customFormat="1" ht="38.25" x14ac:dyDescent="0.25">
      <c r="A704" s="731" t="s">
        <v>1439</v>
      </c>
      <c r="B704" s="28" t="s">
        <v>1461</v>
      </c>
      <c r="C704" s="43" t="s">
        <v>1614</v>
      </c>
      <c r="D704" s="30" t="s">
        <v>1441</v>
      </c>
      <c r="E704" s="28" t="s">
        <v>1610</v>
      </c>
      <c r="F704" s="30" t="s">
        <v>382</v>
      </c>
      <c r="G704" s="28" t="s">
        <v>388</v>
      </c>
      <c r="H704" s="30" t="s">
        <v>1615</v>
      </c>
      <c r="I704" s="219">
        <v>1997484.97</v>
      </c>
      <c r="J704" s="893">
        <v>45217</v>
      </c>
      <c r="K704" s="894">
        <v>45397</v>
      </c>
      <c r="L704" s="750">
        <v>1</v>
      </c>
      <c r="M704" s="743">
        <v>0</v>
      </c>
      <c r="N704" s="623" t="s">
        <v>1545</v>
      </c>
    </row>
    <row r="705" spans="1:14" s="7" customFormat="1" ht="76.5" x14ac:dyDescent="0.25">
      <c r="A705" s="751" t="s">
        <v>1616</v>
      </c>
      <c r="B705" s="619" t="s">
        <v>1461</v>
      </c>
      <c r="C705" s="46" t="s">
        <v>1617</v>
      </c>
      <c r="D705" s="48" t="s">
        <v>1519</v>
      </c>
      <c r="E705" s="619" t="s">
        <v>1610</v>
      </c>
      <c r="F705" s="48" t="s">
        <v>1520</v>
      </c>
      <c r="G705" s="48" t="s">
        <v>388</v>
      </c>
      <c r="H705" s="48" t="s">
        <v>1618</v>
      </c>
      <c r="I705" s="647">
        <v>628448</v>
      </c>
      <c r="J705" s="48" t="s">
        <v>1619</v>
      </c>
      <c r="K705" s="48" t="s">
        <v>1620</v>
      </c>
      <c r="L705" s="742">
        <v>1</v>
      </c>
      <c r="M705" s="743">
        <v>0</v>
      </c>
      <c r="N705" s="623" t="s">
        <v>1545</v>
      </c>
    </row>
    <row r="706" spans="1:14" s="7" customFormat="1" ht="38.25" x14ac:dyDescent="0.25">
      <c r="A706" s="751" t="s">
        <v>1621</v>
      </c>
      <c r="B706" s="619" t="s">
        <v>1461</v>
      </c>
      <c r="C706" s="46" t="s">
        <v>1622</v>
      </c>
      <c r="D706" s="48" t="s">
        <v>1441</v>
      </c>
      <c r="E706" s="619" t="s">
        <v>1610</v>
      </c>
      <c r="F706" s="48" t="s">
        <v>24</v>
      </c>
      <c r="G706" s="48" t="s">
        <v>388</v>
      </c>
      <c r="H706" s="48" t="s">
        <v>1526</v>
      </c>
      <c r="I706" s="647">
        <v>450000</v>
      </c>
      <c r="J706" s="48" t="s">
        <v>24</v>
      </c>
      <c r="K706" s="48" t="s">
        <v>24</v>
      </c>
      <c r="L706" s="742">
        <v>0</v>
      </c>
      <c r="M706" s="743">
        <v>0</v>
      </c>
      <c r="N706" s="744" t="s">
        <v>1435</v>
      </c>
    </row>
    <row r="707" spans="1:14" s="7" customFormat="1" ht="51" x14ac:dyDescent="0.25">
      <c r="A707" s="731" t="s">
        <v>1439</v>
      </c>
      <c r="B707" s="619" t="s">
        <v>1461</v>
      </c>
      <c r="C707" s="745" t="s">
        <v>1623</v>
      </c>
      <c r="D707" s="48" t="s">
        <v>1441</v>
      </c>
      <c r="E707" s="619" t="s">
        <v>1610</v>
      </c>
      <c r="F707" s="48" t="s">
        <v>1603</v>
      </c>
      <c r="G707" s="48" t="s">
        <v>388</v>
      </c>
      <c r="H707" s="752" t="s">
        <v>1444</v>
      </c>
      <c r="I707" s="647">
        <v>2969999.81</v>
      </c>
      <c r="J707" s="48" t="s">
        <v>24</v>
      </c>
      <c r="K707" s="48" t="s">
        <v>24</v>
      </c>
      <c r="L707" s="742">
        <v>0</v>
      </c>
      <c r="M707" s="743">
        <v>0</v>
      </c>
      <c r="N707" s="744" t="s">
        <v>1435</v>
      </c>
    </row>
    <row r="708" spans="1:14" s="7" customFormat="1" ht="51" x14ac:dyDescent="0.25">
      <c r="A708" s="731" t="s">
        <v>1439</v>
      </c>
      <c r="B708" s="619" t="s">
        <v>1461</v>
      </c>
      <c r="C708" s="46" t="s">
        <v>1624</v>
      </c>
      <c r="D708" s="48" t="s">
        <v>1441</v>
      </c>
      <c r="E708" s="619" t="s">
        <v>1610</v>
      </c>
      <c r="F708" s="48" t="s">
        <v>1603</v>
      </c>
      <c r="G708" s="48" t="s">
        <v>388</v>
      </c>
      <c r="H708" s="752" t="s">
        <v>1444</v>
      </c>
      <c r="I708" s="647">
        <v>2999249.92</v>
      </c>
      <c r="J708" s="48" t="s">
        <v>1625</v>
      </c>
      <c r="K708" s="48" t="s">
        <v>1626</v>
      </c>
      <c r="L708" s="749">
        <v>0.86829999999999996</v>
      </c>
      <c r="M708" s="743">
        <v>0</v>
      </c>
      <c r="N708" s="623" t="s">
        <v>1432</v>
      </c>
    </row>
    <row r="709" spans="1:14" s="7" customFormat="1" ht="38.25" x14ac:dyDescent="0.25">
      <c r="A709" s="731" t="s">
        <v>1439</v>
      </c>
      <c r="B709" s="619" t="s">
        <v>1461</v>
      </c>
      <c r="C709" s="46" t="s">
        <v>1627</v>
      </c>
      <c r="D709" s="48" t="s">
        <v>1441</v>
      </c>
      <c r="E709" s="619" t="s">
        <v>1610</v>
      </c>
      <c r="F709" s="48" t="s">
        <v>1628</v>
      </c>
      <c r="G709" s="48" t="s">
        <v>388</v>
      </c>
      <c r="H709" s="752" t="s">
        <v>1465</v>
      </c>
      <c r="I709" s="647">
        <v>7299725.46</v>
      </c>
      <c r="J709" s="48" t="s">
        <v>1629</v>
      </c>
      <c r="K709" s="48" t="s">
        <v>1630</v>
      </c>
      <c r="L709" s="749">
        <v>1</v>
      </c>
      <c r="M709" s="753">
        <v>0.6</v>
      </c>
      <c r="N709" s="623" t="s">
        <v>1432</v>
      </c>
    </row>
    <row r="710" spans="1:14" s="7" customFormat="1" ht="25.5" x14ac:dyDescent="0.25">
      <c r="A710" s="754" t="s">
        <v>1439</v>
      </c>
      <c r="B710" s="619" t="s">
        <v>1461</v>
      </c>
      <c r="C710" s="46" t="s">
        <v>1631</v>
      </c>
      <c r="D710" s="48" t="s">
        <v>1441</v>
      </c>
      <c r="E710" s="619" t="s">
        <v>1610</v>
      </c>
      <c r="F710" s="48" t="s">
        <v>24</v>
      </c>
      <c r="G710" s="48" t="s">
        <v>388</v>
      </c>
      <c r="H710" s="628" t="s">
        <v>1472</v>
      </c>
      <c r="I710" s="755">
        <v>56000000</v>
      </c>
      <c r="J710" s="628" t="s">
        <v>24</v>
      </c>
      <c r="K710" s="628" t="s">
        <v>24</v>
      </c>
      <c r="L710" s="756">
        <v>0</v>
      </c>
      <c r="M710" s="756">
        <v>0</v>
      </c>
      <c r="N710" s="757" t="s">
        <v>1435</v>
      </c>
    </row>
    <row r="711" spans="1:14" s="7" customFormat="1" ht="15.75" x14ac:dyDescent="0.25">
      <c r="A711" s="758"/>
      <c r="B711" s="619" t="s">
        <v>1461</v>
      </c>
      <c r="C711" s="46" t="s">
        <v>1632</v>
      </c>
      <c r="D711" s="48" t="s">
        <v>1441</v>
      </c>
      <c r="E711" s="619" t="s">
        <v>1610</v>
      </c>
      <c r="F711" s="48" t="s">
        <v>24</v>
      </c>
      <c r="G711" s="48" t="s">
        <v>388</v>
      </c>
      <c r="H711" s="633"/>
      <c r="I711" s="642"/>
      <c r="J711" s="633"/>
      <c r="K711" s="633"/>
      <c r="L711" s="759"/>
      <c r="M711" s="759"/>
      <c r="N711" s="760"/>
    </row>
    <row r="712" spans="1:14" s="7" customFormat="1" ht="25.5" x14ac:dyDescent="0.25">
      <c r="A712" s="758"/>
      <c r="B712" s="619" t="s">
        <v>1461</v>
      </c>
      <c r="C712" s="46" t="s">
        <v>1633</v>
      </c>
      <c r="D712" s="48" t="s">
        <v>1441</v>
      </c>
      <c r="E712" s="619" t="s">
        <v>1610</v>
      </c>
      <c r="F712" s="48" t="s">
        <v>24</v>
      </c>
      <c r="G712" s="48" t="s">
        <v>388</v>
      </c>
      <c r="H712" s="633"/>
      <c r="I712" s="642"/>
      <c r="J712" s="633"/>
      <c r="K712" s="633"/>
      <c r="L712" s="759"/>
      <c r="M712" s="759"/>
      <c r="N712" s="760"/>
    </row>
    <row r="713" spans="1:14" s="7" customFormat="1" ht="15.75" x14ac:dyDescent="0.25">
      <c r="A713" s="761"/>
      <c r="B713" s="619" t="s">
        <v>1461</v>
      </c>
      <c r="C713" s="46" t="s">
        <v>1534</v>
      </c>
      <c r="D713" s="48" t="s">
        <v>1441</v>
      </c>
      <c r="E713" s="619" t="s">
        <v>1610</v>
      </c>
      <c r="F713" s="48" t="s">
        <v>24</v>
      </c>
      <c r="G713" s="48" t="s">
        <v>388</v>
      </c>
      <c r="H713" s="637"/>
      <c r="I713" s="645"/>
      <c r="J713" s="637"/>
      <c r="K713" s="637"/>
      <c r="L713" s="762"/>
      <c r="M713" s="762"/>
      <c r="N713" s="763"/>
    </row>
    <row r="714" spans="1:14" s="7" customFormat="1" ht="51" x14ac:dyDescent="0.25">
      <c r="A714" s="731" t="s">
        <v>1439</v>
      </c>
      <c r="B714" s="619" t="s">
        <v>1461</v>
      </c>
      <c r="C714" s="46" t="s">
        <v>1634</v>
      </c>
      <c r="D714" s="48" t="s">
        <v>1441</v>
      </c>
      <c r="E714" s="619" t="s">
        <v>1610</v>
      </c>
      <c r="F714" s="48" t="s">
        <v>1635</v>
      </c>
      <c r="G714" s="48" t="s">
        <v>388</v>
      </c>
      <c r="H714" s="752" t="s">
        <v>1448</v>
      </c>
      <c r="I714" s="647">
        <v>4232999.4800000004</v>
      </c>
      <c r="J714" s="48" t="s">
        <v>1636</v>
      </c>
      <c r="K714" s="48" t="s">
        <v>1637</v>
      </c>
      <c r="L714" s="749">
        <v>0.1401</v>
      </c>
      <c r="M714" s="753">
        <v>0</v>
      </c>
      <c r="N714" s="623" t="s">
        <v>1432</v>
      </c>
    </row>
    <row r="715" spans="1:14" s="7" customFormat="1" ht="38.25" x14ac:dyDescent="0.25">
      <c r="A715" s="731" t="s">
        <v>1439</v>
      </c>
      <c r="B715" s="619" t="s">
        <v>1461</v>
      </c>
      <c r="C715" s="46" t="s">
        <v>1638</v>
      </c>
      <c r="D715" s="48" t="s">
        <v>1441</v>
      </c>
      <c r="E715" s="619" t="s">
        <v>1610</v>
      </c>
      <c r="F715" s="48" t="s">
        <v>24</v>
      </c>
      <c r="G715" s="48" t="s">
        <v>388</v>
      </c>
      <c r="H715" s="752" t="s">
        <v>1568</v>
      </c>
      <c r="I715" s="647">
        <v>2000000</v>
      </c>
      <c r="J715" s="48" t="s">
        <v>24</v>
      </c>
      <c r="K715" s="48" t="s">
        <v>24</v>
      </c>
      <c r="L715" s="742">
        <v>0</v>
      </c>
      <c r="M715" s="743">
        <v>0</v>
      </c>
      <c r="N715" s="744" t="s">
        <v>1435</v>
      </c>
    </row>
    <row r="716" spans="1:14" s="7" customFormat="1" ht="15.75" x14ac:dyDescent="0.25">
      <c r="A716" s="735" t="s">
        <v>1639</v>
      </c>
      <c r="B716" s="736"/>
      <c r="C716" s="737"/>
      <c r="D716" s="738"/>
      <c r="E716" s="738"/>
      <c r="F716" s="738"/>
      <c r="G716" s="738"/>
      <c r="H716" s="738"/>
      <c r="I716" s="739"/>
      <c r="J716" s="738"/>
      <c r="K716" s="738"/>
      <c r="L716" s="737"/>
      <c r="M716" s="737"/>
      <c r="N716" s="748"/>
    </row>
    <row r="717" spans="1:14" s="7" customFormat="1" ht="63.75" x14ac:dyDescent="0.25">
      <c r="A717" s="618" t="s">
        <v>1439</v>
      </c>
      <c r="B717" s="764" t="s">
        <v>1461</v>
      </c>
      <c r="C717" s="46" t="s">
        <v>1640</v>
      </c>
      <c r="D717" s="48" t="s">
        <v>1441</v>
      </c>
      <c r="E717" s="619" t="s">
        <v>1641</v>
      </c>
      <c r="F717" s="682" t="s">
        <v>1516</v>
      </c>
      <c r="G717" s="48" t="s">
        <v>388</v>
      </c>
      <c r="H717" s="48" t="s">
        <v>1484</v>
      </c>
      <c r="I717" s="741">
        <v>1137765.05</v>
      </c>
      <c r="J717" s="682" t="s">
        <v>24</v>
      </c>
      <c r="K717" s="682" t="s">
        <v>24</v>
      </c>
      <c r="L717" s="742">
        <v>0</v>
      </c>
      <c r="M717" s="743">
        <v>0</v>
      </c>
      <c r="N717" s="744" t="s">
        <v>1435</v>
      </c>
    </row>
    <row r="718" spans="1:14" s="7" customFormat="1" ht="38.25" x14ac:dyDescent="0.25">
      <c r="A718" s="618" t="s">
        <v>1439</v>
      </c>
      <c r="B718" s="764" t="s">
        <v>1461</v>
      </c>
      <c r="C718" s="46" t="s">
        <v>1594</v>
      </c>
      <c r="D718" s="48" t="s">
        <v>1441</v>
      </c>
      <c r="E718" s="619" t="s">
        <v>1641</v>
      </c>
      <c r="F718" s="682" t="s">
        <v>24</v>
      </c>
      <c r="G718" s="48" t="s">
        <v>388</v>
      </c>
      <c r="H718" s="48" t="s">
        <v>1484</v>
      </c>
      <c r="I718" s="741">
        <v>2000000</v>
      </c>
      <c r="J718" s="682" t="s">
        <v>24</v>
      </c>
      <c r="K718" s="682" t="s">
        <v>24</v>
      </c>
      <c r="L718" s="742">
        <v>0</v>
      </c>
      <c r="M718" s="743">
        <v>0</v>
      </c>
      <c r="N718" s="623" t="s">
        <v>1435</v>
      </c>
    </row>
    <row r="719" spans="1:14" s="7" customFormat="1" ht="38.25" x14ac:dyDescent="0.25">
      <c r="A719" s="765" t="s">
        <v>1439</v>
      </c>
      <c r="B719" s="764" t="s">
        <v>1461</v>
      </c>
      <c r="C719" s="766" t="s">
        <v>1642</v>
      </c>
      <c r="D719" s="48" t="s">
        <v>1643</v>
      </c>
      <c r="E719" s="619" t="s">
        <v>1641</v>
      </c>
      <c r="F719" s="682" t="s">
        <v>24</v>
      </c>
      <c r="G719" s="48" t="s">
        <v>388</v>
      </c>
      <c r="H719" s="48" t="s">
        <v>1572</v>
      </c>
      <c r="I719" s="767">
        <v>2300000</v>
      </c>
      <c r="J719" s="682" t="s">
        <v>24</v>
      </c>
      <c r="K719" s="682" t="s">
        <v>24</v>
      </c>
      <c r="L719" s="742">
        <v>0</v>
      </c>
      <c r="M719" s="743">
        <v>0</v>
      </c>
      <c r="N719" s="623" t="s">
        <v>1435</v>
      </c>
    </row>
    <row r="720" spans="1:14" s="7" customFormat="1" ht="89.25" x14ac:dyDescent="0.25">
      <c r="A720" s="765" t="s">
        <v>1439</v>
      </c>
      <c r="B720" s="764" t="s">
        <v>1461</v>
      </c>
      <c r="C720" s="766" t="s">
        <v>1644</v>
      </c>
      <c r="D720" s="48" t="s">
        <v>1441</v>
      </c>
      <c r="E720" s="619" t="s">
        <v>1641</v>
      </c>
      <c r="F720" s="682" t="s">
        <v>1438</v>
      </c>
      <c r="G720" s="48" t="s">
        <v>388</v>
      </c>
      <c r="H720" s="48" t="s">
        <v>1444</v>
      </c>
      <c r="I720" s="767">
        <v>2187340.88</v>
      </c>
      <c r="J720" s="682" t="s">
        <v>24</v>
      </c>
      <c r="K720" s="682" t="s">
        <v>24</v>
      </c>
      <c r="L720" s="742">
        <v>0</v>
      </c>
      <c r="M720" s="742">
        <v>0</v>
      </c>
      <c r="N720" s="623" t="s">
        <v>1435</v>
      </c>
    </row>
    <row r="721" spans="1:14" s="7" customFormat="1" ht="89.25" x14ac:dyDescent="0.25">
      <c r="A721" s="618" t="s">
        <v>1439</v>
      </c>
      <c r="B721" s="764" t="s">
        <v>1461</v>
      </c>
      <c r="C721" s="46" t="s">
        <v>1645</v>
      </c>
      <c r="D721" s="48" t="s">
        <v>1441</v>
      </c>
      <c r="E721" s="619" t="s">
        <v>1641</v>
      </c>
      <c r="F721" s="682" t="s">
        <v>1646</v>
      </c>
      <c r="G721" s="48" t="s">
        <v>388</v>
      </c>
      <c r="H721" s="48" t="s">
        <v>1444</v>
      </c>
      <c r="I721" s="741">
        <v>2381581.52</v>
      </c>
      <c r="J721" s="682" t="s">
        <v>1604</v>
      </c>
      <c r="K721" s="682" t="s">
        <v>1647</v>
      </c>
      <c r="L721" s="749">
        <v>0.88</v>
      </c>
      <c r="M721" s="743">
        <v>0</v>
      </c>
      <c r="N721" s="623" t="s">
        <v>1432</v>
      </c>
    </row>
    <row r="722" spans="1:14" s="7" customFormat="1" ht="40.5" customHeight="1" x14ac:dyDescent="0.25">
      <c r="A722" s="765" t="s">
        <v>1439</v>
      </c>
      <c r="B722" s="764" t="s">
        <v>1461</v>
      </c>
      <c r="C722" s="766" t="s">
        <v>1648</v>
      </c>
      <c r="D722" s="48" t="s">
        <v>1441</v>
      </c>
      <c r="E722" s="619" t="s">
        <v>1641</v>
      </c>
      <c r="F722" s="628" t="s">
        <v>1649</v>
      </c>
      <c r="G722" s="628" t="s">
        <v>388</v>
      </c>
      <c r="H722" s="628" t="s">
        <v>1465</v>
      </c>
      <c r="I722" s="755">
        <v>7083144.9900000002</v>
      </c>
      <c r="J722" s="768" t="s">
        <v>1650</v>
      </c>
      <c r="K722" s="768" t="s">
        <v>1651</v>
      </c>
      <c r="L722" s="769">
        <v>1</v>
      </c>
      <c r="M722" s="769">
        <v>0.88460000000000005</v>
      </c>
      <c r="N722" s="643" t="s">
        <v>1432</v>
      </c>
    </row>
    <row r="723" spans="1:14" s="7" customFormat="1" ht="38.25" x14ac:dyDescent="0.25">
      <c r="A723" s="765" t="s">
        <v>1439</v>
      </c>
      <c r="B723" s="764" t="s">
        <v>1461</v>
      </c>
      <c r="C723" s="766" t="s">
        <v>1652</v>
      </c>
      <c r="D723" s="48" t="s">
        <v>1441</v>
      </c>
      <c r="E723" s="619" t="s">
        <v>1641</v>
      </c>
      <c r="F723" s="637"/>
      <c r="G723" s="637"/>
      <c r="H723" s="637"/>
      <c r="I723" s="645"/>
      <c r="J723" s="770"/>
      <c r="K723" s="770"/>
      <c r="L723" s="771"/>
      <c r="M723" s="771"/>
      <c r="N723" s="646"/>
    </row>
    <row r="724" spans="1:14" s="7" customFormat="1" ht="38.25" x14ac:dyDescent="0.25">
      <c r="A724" s="765" t="s">
        <v>1439</v>
      </c>
      <c r="B724" s="764" t="s">
        <v>1461</v>
      </c>
      <c r="C724" s="43" t="s">
        <v>1653</v>
      </c>
      <c r="D724" s="48" t="s">
        <v>1441</v>
      </c>
      <c r="E724" s="619" t="s">
        <v>1641</v>
      </c>
      <c r="F724" s="682" t="s">
        <v>24</v>
      </c>
      <c r="G724" s="48" t="s">
        <v>388</v>
      </c>
      <c r="H724" s="628" t="s">
        <v>1472</v>
      </c>
      <c r="I724" s="755">
        <v>10500000</v>
      </c>
      <c r="J724" s="768" t="s">
        <v>24</v>
      </c>
      <c r="K724" s="768" t="s">
        <v>24</v>
      </c>
      <c r="L724" s="756">
        <v>0</v>
      </c>
      <c r="M724" s="756">
        <v>0</v>
      </c>
      <c r="N724" s="643" t="s">
        <v>1435</v>
      </c>
    </row>
    <row r="725" spans="1:14" s="7" customFormat="1" ht="38.25" x14ac:dyDescent="0.25">
      <c r="A725" s="765" t="s">
        <v>1439</v>
      </c>
      <c r="B725" s="764" t="s">
        <v>1461</v>
      </c>
      <c r="C725" s="43" t="s">
        <v>1654</v>
      </c>
      <c r="D725" s="48" t="s">
        <v>1441</v>
      </c>
      <c r="E725" s="619" t="s">
        <v>1641</v>
      </c>
      <c r="F725" s="682" t="s">
        <v>24</v>
      </c>
      <c r="G725" s="48" t="s">
        <v>388</v>
      </c>
      <c r="H725" s="633"/>
      <c r="I725" s="642"/>
      <c r="J725" s="772"/>
      <c r="K725" s="772"/>
      <c r="L725" s="759"/>
      <c r="M725" s="759"/>
      <c r="N725" s="773"/>
    </row>
    <row r="726" spans="1:14" s="7" customFormat="1" ht="38.25" x14ac:dyDescent="0.25">
      <c r="A726" s="765" t="s">
        <v>1439</v>
      </c>
      <c r="B726" s="764" t="s">
        <v>1461</v>
      </c>
      <c r="C726" s="43" t="s">
        <v>1655</v>
      </c>
      <c r="D726" s="48" t="s">
        <v>1441</v>
      </c>
      <c r="E726" s="619" t="s">
        <v>1641</v>
      </c>
      <c r="F726" s="682" t="s">
        <v>24</v>
      </c>
      <c r="G726" s="48" t="s">
        <v>388</v>
      </c>
      <c r="H726" s="633"/>
      <c r="I726" s="642"/>
      <c r="J726" s="772"/>
      <c r="K726" s="772"/>
      <c r="L726" s="759"/>
      <c r="M726" s="759"/>
      <c r="N726" s="773"/>
    </row>
    <row r="727" spans="1:14" s="7" customFormat="1" ht="38.25" x14ac:dyDescent="0.25">
      <c r="A727" s="765" t="s">
        <v>1439</v>
      </c>
      <c r="B727" s="764" t="s">
        <v>1461</v>
      </c>
      <c r="C727" s="43" t="s">
        <v>1656</v>
      </c>
      <c r="D727" s="48" t="s">
        <v>1441</v>
      </c>
      <c r="E727" s="619" t="s">
        <v>1641</v>
      </c>
      <c r="F727" s="682" t="s">
        <v>24</v>
      </c>
      <c r="G727" s="48" t="s">
        <v>388</v>
      </c>
      <c r="H727" s="633"/>
      <c r="I727" s="642"/>
      <c r="J727" s="772"/>
      <c r="K727" s="772"/>
      <c r="L727" s="759"/>
      <c r="M727" s="759"/>
      <c r="N727" s="773"/>
    </row>
    <row r="728" spans="1:14" s="7" customFormat="1" ht="38.25" x14ac:dyDescent="0.25">
      <c r="A728" s="765" t="s">
        <v>1439</v>
      </c>
      <c r="B728" s="764" t="s">
        <v>1461</v>
      </c>
      <c r="C728" s="43" t="s">
        <v>1657</v>
      </c>
      <c r="D728" s="48" t="s">
        <v>1441</v>
      </c>
      <c r="E728" s="619" t="s">
        <v>1641</v>
      </c>
      <c r="F728" s="682" t="s">
        <v>24</v>
      </c>
      <c r="G728" s="48" t="s">
        <v>388</v>
      </c>
      <c r="H728" s="633"/>
      <c r="I728" s="642"/>
      <c r="J728" s="772"/>
      <c r="K728" s="772"/>
      <c r="L728" s="759"/>
      <c r="M728" s="759"/>
      <c r="N728" s="773"/>
    </row>
    <row r="729" spans="1:14" s="7" customFormat="1" ht="38.25" x14ac:dyDescent="0.25">
      <c r="A729" s="765" t="s">
        <v>1439</v>
      </c>
      <c r="B729" s="764" t="s">
        <v>1461</v>
      </c>
      <c r="C729" s="43" t="s">
        <v>1658</v>
      </c>
      <c r="D729" s="48" t="s">
        <v>1441</v>
      </c>
      <c r="E729" s="619" t="s">
        <v>1641</v>
      </c>
      <c r="F729" s="682" t="s">
        <v>24</v>
      </c>
      <c r="G729" s="48" t="s">
        <v>388</v>
      </c>
      <c r="H729" s="637"/>
      <c r="I729" s="645"/>
      <c r="J729" s="770"/>
      <c r="K729" s="770"/>
      <c r="L729" s="762"/>
      <c r="M729" s="762"/>
      <c r="N729" s="646"/>
    </row>
    <row r="730" spans="1:14" s="7" customFormat="1" ht="15.75" x14ac:dyDescent="0.25">
      <c r="A730" s="774" t="s">
        <v>1659</v>
      </c>
      <c r="B730" s="736"/>
      <c r="C730" s="737"/>
      <c r="D730" s="738"/>
      <c r="E730" s="738"/>
      <c r="F730" s="738"/>
      <c r="G730" s="738"/>
      <c r="H730" s="738"/>
      <c r="I730" s="739"/>
      <c r="J730" s="737"/>
      <c r="K730" s="738"/>
      <c r="L730" s="737"/>
      <c r="M730" s="737"/>
      <c r="N730" s="748"/>
    </row>
    <row r="731" spans="1:14" s="7" customFormat="1" ht="63.75" x14ac:dyDescent="0.25">
      <c r="A731" s="731" t="s">
        <v>1439</v>
      </c>
      <c r="B731" s="28" t="s">
        <v>1461</v>
      </c>
      <c r="C731" s="43" t="s">
        <v>1660</v>
      </c>
      <c r="D731" s="48" t="s">
        <v>1441</v>
      </c>
      <c r="E731" s="28" t="s">
        <v>1661</v>
      </c>
      <c r="F731" s="30" t="s">
        <v>1662</v>
      </c>
      <c r="G731" s="30" t="s">
        <v>388</v>
      </c>
      <c r="H731" s="30" t="s">
        <v>1663</v>
      </c>
      <c r="I731" s="775">
        <v>16124781.359999999</v>
      </c>
      <c r="J731" s="776" t="s">
        <v>1664</v>
      </c>
      <c r="K731" s="776" t="s">
        <v>1665</v>
      </c>
      <c r="L731" s="777">
        <v>0.98550000000000004</v>
      </c>
      <c r="M731" s="742">
        <v>0</v>
      </c>
      <c r="N731" s="728" t="s">
        <v>1432</v>
      </c>
    </row>
    <row r="732" spans="1:14" s="7" customFormat="1" ht="51" x14ac:dyDescent="0.25">
      <c r="A732" s="731" t="s">
        <v>1439</v>
      </c>
      <c r="B732" s="28" t="s">
        <v>1461</v>
      </c>
      <c r="C732" s="43" t="s">
        <v>1666</v>
      </c>
      <c r="D732" s="48" t="s">
        <v>1441</v>
      </c>
      <c r="E732" s="28" t="s">
        <v>1661</v>
      </c>
      <c r="F732" s="30" t="s">
        <v>1595</v>
      </c>
      <c r="G732" s="30" t="s">
        <v>388</v>
      </c>
      <c r="H732" s="30" t="s">
        <v>1511</v>
      </c>
      <c r="I732" s="775">
        <v>8406003.3900000006</v>
      </c>
      <c r="J732" s="776" t="s">
        <v>1600</v>
      </c>
      <c r="K732" s="776" t="s">
        <v>1667</v>
      </c>
      <c r="L732" s="749">
        <v>0.1041</v>
      </c>
      <c r="M732" s="742">
        <v>0</v>
      </c>
      <c r="N732" s="728" t="s">
        <v>1432</v>
      </c>
    </row>
    <row r="733" spans="1:14" s="7" customFormat="1" ht="63.75" x14ac:dyDescent="0.25">
      <c r="A733" s="731" t="s">
        <v>1668</v>
      </c>
      <c r="B733" s="28" t="s">
        <v>1461</v>
      </c>
      <c r="C733" s="43" t="s">
        <v>1669</v>
      </c>
      <c r="D733" s="48" t="s">
        <v>1670</v>
      </c>
      <c r="E733" s="28" t="s">
        <v>1661</v>
      </c>
      <c r="F733" s="30" t="s">
        <v>1662</v>
      </c>
      <c r="G733" s="30" t="s">
        <v>388</v>
      </c>
      <c r="H733" s="30" t="s">
        <v>1511</v>
      </c>
      <c r="I733" s="775">
        <v>1123299.73</v>
      </c>
      <c r="J733" s="776" t="s">
        <v>1664</v>
      </c>
      <c r="K733" s="776" t="s">
        <v>1671</v>
      </c>
      <c r="L733" s="777">
        <v>1</v>
      </c>
      <c r="M733" s="742">
        <v>0</v>
      </c>
      <c r="N733" s="728" t="s">
        <v>1432</v>
      </c>
    </row>
    <row r="734" spans="1:14" s="7" customFormat="1" ht="38.25" x14ac:dyDescent="0.25">
      <c r="A734" s="731" t="s">
        <v>1439</v>
      </c>
      <c r="B734" s="28" t="s">
        <v>1461</v>
      </c>
      <c r="C734" s="43" t="s">
        <v>1672</v>
      </c>
      <c r="D734" s="48" t="s">
        <v>1441</v>
      </c>
      <c r="E734" s="28" t="s">
        <v>1661</v>
      </c>
      <c r="F734" s="30" t="s">
        <v>24</v>
      </c>
      <c r="G734" s="30" t="s">
        <v>388</v>
      </c>
      <c r="H734" s="30" t="s">
        <v>1511</v>
      </c>
      <c r="I734" s="775">
        <v>2000000</v>
      </c>
      <c r="J734" s="30" t="s">
        <v>24</v>
      </c>
      <c r="K734" s="30" t="s">
        <v>24</v>
      </c>
      <c r="L734" s="778">
        <v>0</v>
      </c>
      <c r="M734" s="779">
        <v>0</v>
      </c>
      <c r="N734" s="623" t="s">
        <v>1435</v>
      </c>
    </row>
    <row r="735" spans="1:14" s="7" customFormat="1" ht="38.25" x14ac:dyDescent="0.25">
      <c r="A735" s="731" t="s">
        <v>1439</v>
      </c>
      <c r="B735" s="28" t="s">
        <v>1461</v>
      </c>
      <c r="C735" s="43" t="s">
        <v>1673</v>
      </c>
      <c r="D735" s="48" t="s">
        <v>1670</v>
      </c>
      <c r="E735" s="28" t="s">
        <v>1661</v>
      </c>
      <c r="F735" s="30" t="s">
        <v>1674</v>
      </c>
      <c r="G735" s="30" t="s">
        <v>388</v>
      </c>
      <c r="H735" s="30" t="s">
        <v>1511</v>
      </c>
      <c r="I735" s="775">
        <v>2377871.1</v>
      </c>
      <c r="J735" s="30" t="s">
        <v>1675</v>
      </c>
      <c r="K735" s="30" t="s">
        <v>1676</v>
      </c>
      <c r="L735" s="778">
        <v>0.87229999999999996</v>
      </c>
      <c r="M735" s="779">
        <v>0</v>
      </c>
      <c r="N735" s="728" t="s">
        <v>1432</v>
      </c>
    </row>
    <row r="736" spans="1:14" s="7" customFormat="1" ht="38.25" x14ac:dyDescent="0.25">
      <c r="A736" s="731" t="s">
        <v>1439</v>
      </c>
      <c r="B736" s="28" t="s">
        <v>1461</v>
      </c>
      <c r="C736" s="43" t="s">
        <v>1677</v>
      </c>
      <c r="D736" s="48" t="s">
        <v>1441</v>
      </c>
      <c r="E736" s="28" t="s">
        <v>1661</v>
      </c>
      <c r="F736" s="30" t="s">
        <v>24</v>
      </c>
      <c r="G736" s="30" t="s">
        <v>388</v>
      </c>
      <c r="H736" s="30" t="s">
        <v>1678</v>
      </c>
      <c r="I736" s="775">
        <v>3150000</v>
      </c>
      <c r="J736" s="30" t="s">
        <v>24</v>
      </c>
      <c r="K736" s="30" t="s">
        <v>24</v>
      </c>
      <c r="L736" s="778">
        <v>0</v>
      </c>
      <c r="M736" s="779">
        <v>0</v>
      </c>
      <c r="N736" s="623" t="s">
        <v>1435</v>
      </c>
    </row>
    <row r="737" spans="1:14" s="7" customFormat="1" ht="38.25" x14ac:dyDescent="0.25">
      <c r="A737" s="731" t="s">
        <v>1439</v>
      </c>
      <c r="B737" s="28" t="s">
        <v>1461</v>
      </c>
      <c r="C737" s="43" t="s">
        <v>1679</v>
      </c>
      <c r="D737" s="48" t="s">
        <v>1441</v>
      </c>
      <c r="E737" s="28" t="s">
        <v>1661</v>
      </c>
      <c r="F737" s="629" t="s">
        <v>1603</v>
      </c>
      <c r="G737" s="629" t="s">
        <v>388</v>
      </c>
      <c r="H737" s="629" t="s">
        <v>1465</v>
      </c>
      <c r="I737" s="665">
        <v>12942222.52</v>
      </c>
      <c r="J737" s="629" t="s">
        <v>1604</v>
      </c>
      <c r="K737" s="629" t="s">
        <v>1680</v>
      </c>
      <c r="L737" s="780">
        <v>0.83330000000000004</v>
      </c>
      <c r="M737" s="781">
        <v>0</v>
      </c>
      <c r="N737" s="643" t="s">
        <v>1681</v>
      </c>
    </row>
    <row r="738" spans="1:14" s="7" customFormat="1" ht="38.25" x14ac:dyDescent="0.25">
      <c r="A738" s="731" t="s">
        <v>1439</v>
      </c>
      <c r="B738" s="28" t="s">
        <v>1461</v>
      </c>
      <c r="C738" s="782" t="s">
        <v>1682</v>
      </c>
      <c r="D738" s="48" t="s">
        <v>1441</v>
      </c>
      <c r="E738" s="28" t="s">
        <v>1661</v>
      </c>
      <c r="F738" s="634"/>
      <c r="G738" s="634"/>
      <c r="H738" s="634"/>
      <c r="I738" s="783"/>
      <c r="J738" s="634"/>
      <c r="K738" s="634"/>
      <c r="L738" s="784"/>
      <c r="M738" s="785"/>
      <c r="N738" s="773"/>
    </row>
    <row r="739" spans="1:14" s="7" customFormat="1" ht="38.25" x14ac:dyDescent="0.25">
      <c r="A739" s="731" t="s">
        <v>1439</v>
      </c>
      <c r="B739" s="28" t="s">
        <v>1461</v>
      </c>
      <c r="C739" s="782" t="s">
        <v>1683</v>
      </c>
      <c r="D739" s="48" t="s">
        <v>1441</v>
      </c>
      <c r="E739" s="28" t="s">
        <v>1661</v>
      </c>
      <c r="F739" s="634"/>
      <c r="G739" s="634"/>
      <c r="H739" s="634"/>
      <c r="I739" s="783"/>
      <c r="J739" s="634"/>
      <c r="K739" s="634"/>
      <c r="L739" s="784"/>
      <c r="M739" s="785"/>
      <c r="N739" s="773"/>
    </row>
    <row r="740" spans="1:14" s="7" customFormat="1" ht="38.25" x14ac:dyDescent="0.25">
      <c r="A740" s="731" t="s">
        <v>1439</v>
      </c>
      <c r="B740" s="28" t="s">
        <v>1461</v>
      </c>
      <c r="C740" s="782" t="s">
        <v>1684</v>
      </c>
      <c r="D740" s="48" t="s">
        <v>1441</v>
      </c>
      <c r="E740" s="28" t="s">
        <v>1661</v>
      </c>
      <c r="F740" s="634"/>
      <c r="G740" s="634"/>
      <c r="H740" s="634"/>
      <c r="I740" s="783"/>
      <c r="J740" s="634"/>
      <c r="K740" s="634"/>
      <c r="L740" s="784"/>
      <c r="M740" s="785"/>
      <c r="N740" s="773"/>
    </row>
    <row r="741" spans="1:14" s="7" customFormat="1" ht="38.25" x14ac:dyDescent="0.25">
      <c r="A741" s="731" t="s">
        <v>1439</v>
      </c>
      <c r="B741" s="28" t="s">
        <v>1461</v>
      </c>
      <c r="C741" s="782" t="s">
        <v>1685</v>
      </c>
      <c r="D741" s="48" t="s">
        <v>1441</v>
      </c>
      <c r="E741" s="28" t="s">
        <v>1661</v>
      </c>
      <c r="F741" s="638"/>
      <c r="G741" s="638"/>
      <c r="H741" s="638"/>
      <c r="I741" s="666"/>
      <c r="J741" s="638"/>
      <c r="K741" s="638"/>
      <c r="L741" s="786"/>
      <c r="M741" s="787"/>
      <c r="N741" s="646"/>
    </row>
    <row r="742" spans="1:14" s="7" customFormat="1" ht="38.25" x14ac:dyDescent="0.25">
      <c r="A742" s="43" t="s">
        <v>1439</v>
      </c>
      <c r="B742" s="28" t="s">
        <v>1461</v>
      </c>
      <c r="C742" s="43" t="s">
        <v>1686</v>
      </c>
      <c r="D742" s="48" t="s">
        <v>1441</v>
      </c>
      <c r="E742" s="28" t="s">
        <v>1661</v>
      </c>
      <c r="F742" s="24" t="s">
        <v>24</v>
      </c>
      <c r="G742" s="24" t="s">
        <v>388</v>
      </c>
      <c r="H742" s="24" t="s">
        <v>1472</v>
      </c>
      <c r="I742" s="630">
        <v>7000000</v>
      </c>
      <c r="J742" s="24" t="s">
        <v>24</v>
      </c>
      <c r="K742" s="24" t="s">
        <v>24</v>
      </c>
      <c r="L742" s="788">
        <v>0</v>
      </c>
      <c r="M742" s="788">
        <v>0</v>
      </c>
      <c r="N742" s="643" t="s">
        <v>1435</v>
      </c>
    </row>
    <row r="743" spans="1:14" s="7" customFormat="1" ht="38.25" x14ac:dyDescent="0.25">
      <c r="A743" s="43" t="s">
        <v>1439</v>
      </c>
      <c r="B743" s="28" t="s">
        <v>1461</v>
      </c>
      <c r="C743" s="43" t="s">
        <v>1687</v>
      </c>
      <c r="D743" s="48" t="s">
        <v>1441</v>
      </c>
      <c r="E743" s="28" t="s">
        <v>1661</v>
      </c>
      <c r="F743" s="24"/>
      <c r="G743" s="24"/>
      <c r="H743" s="24"/>
      <c r="I743" s="630"/>
      <c r="J743" s="24"/>
      <c r="K743" s="24"/>
      <c r="L743" s="788"/>
      <c r="M743" s="788"/>
      <c r="N743" s="646"/>
    </row>
    <row r="744" spans="1:14" s="7" customFormat="1" ht="39" thickBot="1" x14ac:dyDescent="0.3">
      <c r="A744" s="731" t="s">
        <v>1439</v>
      </c>
      <c r="B744" s="28" t="s">
        <v>1461</v>
      </c>
      <c r="C744" s="43" t="s">
        <v>1688</v>
      </c>
      <c r="D744" s="48" t="s">
        <v>1670</v>
      </c>
      <c r="E744" s="28" t="s">
        <v>1661</v>
      </c>
      <c r="F744" s="30" t="s">
        <v>24</v>
      </c>
      <c r="G744" s="30" t="s">
        <v>388</v>
      </c>
      <c r="H744" s="30" t="s">
        <v>1448</v>
      </c>
      <c r="I744" s="775">
        <v>2000000</v>
      </c>
      <c r="J744" s="30" t="s">
        <v>24</v>
      </c>
      <c r="K744" s="30" t="s">
        <v>24</v>
      </c>
      <c r="L744" s="778">
        <v>0</v>
      </c>
      <c r="M744" s="779">
        <v>0</v>
      </c>
      <c r="N744" s="623" t="s">
        <v>1435</v>
      </c>
    </row>
    <row r="745" spans="1:14" s="7" customFormat="1" ht="15.75" x14ac:dyDescent="0.25">
      <c r="A745" s="789" t="s">
        <v>1689</v>
      </c>
      <c r="B745" s="790"/>
      <c r="C745" s="791"/>
      <c r="D745" s="792"/>
      <c r="E745" s="792"/>
      <c r="F745" s="792"/>
      <c r="G745" s="792"/>
      <c r="H745" s="792"/>
      <c r="I745" s="793"/>
      <c r="J745" s="791"/>
      <c r="K745" s="792"/>
      <c r="L745" s="791"/>
      <c r="M745" s="791"/>
      <c r="N745" s="748"/>
    </row>
    <row r="746" spans="1:14" s="7" customFormat="1" ht="51" x14ac:dyDescent="0.25">
      <c r="A746" s="618" t="s">
        <v>1439</v>
      </c>
      <c r="B746" s="680" t="s">
        <v>1461</v>
      </c>
      <c r="C746" s="794" t="s">
        <v>1690</v>
      </c>
      <c r="D746" s="795" t="s">
        <v>1441</v>
      </c>
      <c r="E746" s="796" t="s">
        <v>1691</v>
      </c>
      <c r="F746" s="797" t="s">
        <v>1692</v>
      </c>
      <c r="G746" s="619" t="s">
        <v>388</v>
      </c>
      <c r="H746" s="798" t="s">
        <v>1511</v>
      </c>
      <c r="I746" s="799">
        <v>5013370.75</v>
      </c>
      <c r="J746" s="797" t="s">
        <v>1553</v>
      </c>
      <c r="K746" s="797" t="s">
        <v>1693</v>
      </c>
      <c r="L746" s="749">
        <v>0.70240000000000002</v>
      </c>
      <c r="M746" s="743">
        <v>0</v>
      </c>
      <c r="N746" s="623" t="s">
        <v>1432</v>
      </c>
    </row>
    <row r="747" spans="1:14" s="7" customFormat="1" ht="76.5" x14ac:dyDescent="0.25">
      <c r="A747" s="731" t="s">
        <v>1439</v>
      </c>
      <c r="B747" s="696" t="s">
        <v>1461</v>
      </c>
      <c r="C747" s="800" t="s">
        <v>1694</v>
      </c>
      <c r="D747" s="30" t="s">
        <v>1441</v>
      </c>
      <c r="E747" s="801" t="s">
        <v>1691</v>
      </c>
      <c r="F747" s="802" t="s">
        <v>1583</v>
      </c>
      <c r="G747" s="28" t="s">
        <v>388</v>
      </c>
      <c r="H747" s="803" t="s">
        <v>1695</v>
      </c>
      <c r="I747" s="775">
        <v>4602308.04</v>
      </c>
      <c r="J747" s="802" t="s">
        <v>1696</v>
      </c>
      <c r="K747" s="802" t="s">
        <v>24</v>
      </c>
      <c r="L747" s="778">
        <v>0</v>
      </c>
      <c r="M747" s="779">
        <v>0</v>
      </c>
      <c r="N747" s="728" t="s">
        <v>1432</v>
      </c>
    </row>
    <row r="748" spans="1:14" s="7" customFormat="1" ht="38.25" x14ac:dyDescent="0.25">
      <c r="A748" s="731" t="s">
        <v>1439</v>
      </c>
      <c r="B748" s="696" t="s">
        <v>1461</v>
      </c>
      <c r="C748" s="800" t="s">
        <v>1697</v>
      </c>
      <c r="D748" s="30" t="s">
        <v>1441</v>
      </c>
      <c r="E748" s="801" t="s">
        <v>1691</v>
      </c>
      <c r="F748" s="802" t="s">
        <v>24</v>
      </c>
      <c r="G748" s="28" t="s">
        <v>388</v>
      </c>
      <c r="H748" s="803" t="s">
        <v>1484</v>
      </c>
      <c r="I748" s="775">
        <v>724000</v>
      </c>
      <c r="J748" s="802" t="s">
        <v>24</v>
      </c>
      <c r="K748" s="802" t="s">
        <v>24</v>
      </c>
      <c r="L748" s="778">
        <v>0</v>
      </c>
      <c r="M748" s="779">
        <v>0</v>
      </c>
      <c r="N748" s="623" t="s">
        <v>1435</v>
      </c>
    </row>
    <row r="749" spans="1:14" s="7" customFormat="1" ht="38.25" x14ac:dyDescent="0.25">
      <c r="A749" s="804" t="s">
        <v>1698</v>
      </c>
      <c r="B749" s="696" t="s">
        <v>1461</v>
      </c>
      <c r="C749" s="800" t="s">
        <v>1699</v>
      </c>
      <c r="D749" s="805" t="s">
        <v>1441</v>
      </c>
      <c r="E749" s="801" t="s">
        <v>1691</v>
      </c>
      <c r="F749" s="802" t="s">
        <v>24</v>
      </c>
      <c r="G749" s="28" t="s">
        <v>388</v>
      </c>
      <c r="H749" s="803" t="s">
        <v>1484</v>
      </c>
      <c r="I749" s="775">
        <v>700000</v>
      </c>
      <c r="J749" s="802" t="s">
        <v>24</v>
      </c>
      <c r="K749" s="802" t="s">
        <v>24</v>
      </c>
      <c r="L749" s="778">
        <v>0</v>
      </c>
      <c r="M749" s="779">
        <v>0</v>
      </c>
      <c r="N749" s="623" t="s">
        <v>1435</v>
      </c>
    </row>
    <row r="750" spans="1:14" s="7" customFormat="1" ht="38.25" x14ac:dyDescent="0.25">
      <c r="A750" s="731" t="s">
        <v>1439</v>
      </c>
      <c r="B750" s="696" t="s">
        <v>1461</v>
      </c>
      <c r="C750" s="43" t="s">
        <v>1700</v>
      </c>
      <c r="D750" s="805" t="s">
        <v>1441</v>
      </c>
      <c r="E750" s="801" t="s">
        <v>1691</v>
      </c>
      <c r="F750" s="629" t="s">
        <v>1701</v>
      </c>
      <c r="G750" s="28" t="s">
        <v>388</v>
      </c>
      <c r="H750" s="629" t="s">
        <v>1465</v>
      </c>
      <c r="I750" s="630">
        <v>5999574.5</v>
      </c>
      <c r="J750" s="629" t="s">
        <v>1604</v>
      </c>
      <c r="K750" s="629" t="s">
        <v>1702</v>
      </c>
      <c r="L750" s="780">
        <v>1</v>
      </c>
      <c r="M750" s="781">
        <v>0</v>
      </c>
      <c r="N750" s="643" t="s">
        <v>1432</v>
      </c>
    </row>
    <row r="751" spans="1:14" s="7" customFormat="1" ht="38.25" x14ac:dyDescent="0.25">
      <c r="A751" s="731" t="s">
        <v>1439</v>
      </c>
      <c r="B751" s="696" t="s">
        <v>1461</v>
      </c>
      <c r="C751" s="43" t="s">
        <v>1703</v>
      </c>
      <c r="D751" s="805" t="s">
        <v>1441</v>
      </c>
      <c r="E751" s="801" t="s">
        <v>1691</v>
      </c>
      <c r="F751" s="638"/>
      <c r="G751" s="28" t="s">
        <v>388</v>
      </c>
      <c r="H751" s="638"/>
      <c r="I751" s="630"/>
      <c r="J751" s="638"/>
      <c r="K751" s="638"/>
      <c r="L751" s="786"/>
      <c r="M751" s="787"/>
      <c r="N751" s="646"/>
    </row>
    <row r="752" spans="1:14" s="7" customFormat="1" ht="38.25" x14ac:dyDescent="0.25">
      <c r="A752" s="618" t="s">
        <v>1439</v>
      </c>
      <c r="B752" s="680" t="s">
        <v>1461</v>
      </c>
      <c r="C752" s="43" t="s">
        <v>1704</v>
      </c>
      <c r="D752" s="682" t="s">
        <v>1441</v>
      </c>
      <c r="E752" s="801" t="s">
        <v>1691</v>
      </c>
      <c r="F752" s="629" t="s">
        <v>1701</v>
      </c>
      <c r="G752" s="683" t="s">
        <v>388</v>
      </c>
      <c r="H752" s="629" t="s">
        <v>1472</v>
      </c>
      <c r="I752" s="806">
        <v>9412547.0199999996</v>
      </c>
      <c r="J752" s="628" t="s">
        <v>1548</v>
      </c>
      <c r="K752" s="628" t="s">
        <v>1705</v>
      </c>
      <c r="L752" s="714">
        <v>7.5200000000000003E-2</v>
      </c>
      <c r="M752" s="697">
        <v>0</v>
      </c>
      <c r="N752" s="773" t="s">
        <v>1432</v>
      </c>
    </row>
    <row r="753" spans="1:14" s="7" customFormat="1" ht="39" thickBot="1" x14ac:dyDescent="0.3">
      <c r="A753" s="618" t="s">
        <v>1439</v>
      </c>
      <c r="B753" s="680" t="s">
        <v>1461</v>
      </c>
      <c r="C753" s="43" t="s">
        <v>1470</v>
      </c>
      <c r="D753" s="682" t="s">
        <v>1441</v>
      </c>
      <c r="E753" s="801" t="s">
        <v>1691</v>
      </c>
      <c r="F753" s="638"/>
      <c r="G753" s="683" t="s">
        <v>388</v>
      </c>
      <c r="H753" s="807"/>
      <c r="I753" s="808"/>
      <c r="J753" s="809"/>
      <c r="K753" s="809"/>
      <c r="L753" s="810"/>
      <c r="M753" s="811"/>
      <c r="N753" s="646"/>
    </row>
    <row r="754" spans="1:14" s="7" customFormat="1" ht="38.25" x14ac:dyDescent="0.25">
      <c r="A754" s="618" t="s">
        <v>1439</v>
      </c>
      <c r="B754" s="680" t="s">
        <v>1461</v>
      </c>
      <c r="C754" s="800" t="s">
        <v>1706</v>
      </c>
      <c r="D754" s="805" t="s">
        <v>1441</v>
      </c>
      <c r="E754" s="801" t="s">
        <v>1691</v>
      </c>
      <c r="F754" s="802" t="s">
        <v>24</v>
      </c>
      <c r="G754" s="28" t="s">
        <v>388</v>
      </c>
      <c r="H754" s="803" t="s">
        <v>1707</v>
      </c>
      <c r="I754" s="775">
        <v>3000000</v>
      </c>
      <c r="J754" s="802" t="s">
        <v>24</v>
      </c>
      <c r="K754" s="802" t="s">
        <v>24</v>
      </c>
      <c r="L754" s="778">
        <v>0</v>
      </c>
      <c r="M754" s="779">
        <v>0</v>
      </c>
      <c r="N754" s="623" t="s">
        <v>1435</v>
      </c>
    </row>
    <row r="755" spans="1:14" s="7" customFormat="1" ht="39" thickBot="1" x14ac:dyDescent="0.3">
      <c r="A755" s="618" t="s">
        <v>1439</v>
      </c>
      <c r="B755" s="680" t="s">
        <v>1461</v>
      </c>
      <c r="C755" s="800" t="s">
        <v>1708</v>
      </c>
      <c r="D755" s="805" t="s">
        <v>1441</v>
      </c>
      <c r="E755" s="801" t="s">
        <v>1691</v>
      </c>
      <c r="F755" s="802" t="s">
        <v>24</v>
      </c>
      <c r="G755" s="28" t="s">
        <v>388</v>
      </c>
      <c r="H755" s="803" t="s">
        <v>1568</v>
      </c>
      <c r="I755" s="775">
        <v>3000000</v>
      </c>
      <c r="J755" s="802" t="s">
        <v>24</v>
      </c>
      <c r="K755" s="802" t="s">
        <v>24</v>
      </c>
      <c r="L755" s="778">
        <v>0</v>
      </c>
      <c r="M755" s="779">
        <v>0</v>
      </c>
      <c r="N755" s="623" t="s">
        <v>1435</v>
      </c>
    </row>
    <row r="756" spans="1:14" s="7" customFormat="1" ht="15.75" x14ac:dyDescent="0.25">
      <c r="A756" s="789" t="s">
        <v>1709</v>
      </c>
      <c r="B756" s="790"/>
      <c r="C756" s="791"/>
      <c r="D756" s="792"/>
      <c r="E756" s="792"/>
      <c r="F756" s="792"/>
      <c r="G756" s="792"/>
      <c r="H756" s="792"/>
      <c r="I756" s="793"/>
      <c r="J756" s="791"/>
      <c r="K756" s="792"/>
      <c r="L756" s="791"/>
      <c r="M756" s="791"/>
      <c r="N756" s="748"/>
    </row>
    <row r="757" spans="1:14" s="7" customFormat="1" ht="38.25" x14ac:dyDescent="0.25">
      <c r="A757" s="618" t="s">
        <v>1439</v>
      </c>
      <c r="B757" s="680" t="s">
        <v>1461</v>
      </c>
      <c r="C757" s="794" t="s">
        <v>1710</v>
      </c>
      <c r="D757" s="795" t="s">
        <v>1441</v>
      </c>
      <c r="E757" s="796" t="s">
        <v>1711</v>
      </c>
      <c r="F757" s="797" t="s">
        <v>24</v>
      </c>
      <c r="G757" s="619" t="s">
        <v>388</v>
      </c>
      <c r="H757" s="798" t="s">
        <v>1712</v>
      </c>
      <c r="I757" s="812">
        <v>1545410.95</v>
      </c>
      <c r="J757" s="797" t="s">
        <v>24</v>
      </c>
      <c r="K757" s="797" t="s">
        <v>24</v>
      </c>
      <c r="L757" s="742">
        <v>0</v>
      </c>
      <c r="M757" s="743">
        <v>0</v>
      </c>
      <c r="N757" s="623" t="s">
        <v>1435</v>
      </c>
    </row>
    <row r="758" spans="1:14" s="7" customFormat="1" ht="38.25" x14ac:dyDescent="0.25">
      <c r="A758" s="731" t="s">
        <v>1439</v>
      </c>
      <c r="B758" s="696" t="s">
        <v>1461</v>
      </c>
      <c r="C758" s="800" t="s">
        <v>1713</v>
      </c>
      <c r="D758" s="805" t="s">
        <v>1441</v>
      </c>
      <c r="E758" s="801" t="s">
        <v>1711</v>
      </c>
      <c r="F758" s="802" t="s">
        <v>24</v>
      </c>
      <c r="G758" s="28" t="s">
        <v>388</v>
      </c>
      <c r="H758" s="803" t="s">
        <v>1714</v>
      </c>
      <c r="I758" s="812">
        <v>511814.44</v>
      </c>
      <c r="J758" s="802" t="s">
        <v>24</v>
      </c>
      <c r="K758" s="802" t="s">
        <v>24</v>
      </c>
      <c r="L758" s="778">
        <v>0</v>
      </c>
      <c r="M758" s="779">
        <v>0</v>
      </c>
      <c r="N758" s="623" t="s">
        <v>1435</v>
      </c>
    </row>
    <row r="759" spans="1:14" s="1" customFormat="1" ht="89.25" x14ac:dyDescent="0.25">
      <c r="A759" s="731" t="s">
        <v>1439</v>
      </c>
      <c r="B759" s="696" t="s">
        <v>1461</v>
      </c>
      <c r="C759" s="800" t="s">
        <v>1715</v>
      </c>
      <c r="D759" s="813" t="s">
        <v>1441</v>
      </c>
      <c r="E759" s="801" t="s">
        <v>1711</v>
      </c>
      <c r="F759" s="802" t="s">
        <v>1438</v>
      </c>
      <c r="G759" s="28" t="s">
        <v>388</v>
      </c>
      <c r="H759" s="803" t="s">
        <v>1511</v>
      </c>
      <c r="I759" s="814">
        <v>1793115</v>
      </c>
      <c r="J759" s="802" t="s">
        <v>1612</v>
      </c>
      <c r="K759" s="802" t="s">
        <v>1556</v>
      </c>
      <c r="L759" s="777">
        <v>0.92490000000000006</v>
      </c>
      <c r="M759" s="779">
        <v>0</v>
      </c>
      <c r="N759" s="623" t="s">
        <v>1432</v>
      </c>
    </row>
    <row r="760" spans="1:14" s="2" customFormat="1" ht="38.25" x14ac:dyDescent="0.25">
      <c r="A760" s="731" t="s">
        <v>1439</v>
      </c>
      <c r="B760" s="696" t="s">
        <v>1461</v>
      </c>
      <c r="C760" s="800" t="s">
        <v>1563</v>
      </c>
      <c r="D760" s="813" t="s">
        <v>1441</v>
      </c>
      <c r="E760" s="801" t="s">
        <v>1711</v>
      </c>
      <c r="F760" s="629" t="s">
        <v>1438</v>
      </c>
      <c r="G760" s="815" t="s">
        <v>388</v>
      </c>
      <c r="H760" s="629" t="s">
        <v>1465</v>
      </c>
      <c r="I760" s="816">
        <v>16648332.460000001</v>
      </c>
      <c r="J760" s="629" t="s">
        <v>24</v>
      </c>
      <c r="K760" s="629" t="s">
        <v>24</v>
      </c>
      <c r="L760" s="781">
        <v>0</v>
      </c>
      <c r="M760" s="781">
        <v>0</v>
      </c>
      <c r="N760" s="643" t="s">
        <v>1435</v>
      </c>
    </row>
    <row r="761" spans="1:14" s="1" customFormat="1" ht="38.25" x14ac:dyDescent="0.25">
      <c r="A761" s="731" t="s">
        <v>1439</v>
      </c>
      <c r="B761" s="696" t="s">
        <v>1461</v>
      </c>
      <c r="C761" s="800" t="s">
        <v>1462</v>
      </c>
      <c r="D761" s="813" t="s">
        <v>1441</v>
      </c>
      <c r="E761" s="801" t="s">
        <v>1711</v>
      </c>
      <c r="F761" s="634"/>
      <c r="G761" s="817"/>
      <c r="H761" s="634"/>
      <c r="I761" s="818"/>
      <c r="J761" s="634"/>
      <c r="K761" s="634"/>
      <c r="L761" s="785"/>
      <c r="M761" s="785"/>
      <c r="N761" s="773"/>
    </row>
    <row r="762" spans="1:14" ht="38.25" x14ac:dyDescent="0.25">
      <c r="A762" s="731" t="s">
        <v>1439</v>
      </c>
      <c r="B762" s="696" t="s">
        <v>1461</v>
      </c>
      <c r="C762" s="800" t="s">
        <v>1716</v>
      </c>
      <c r="D762" s="813" t="s">
        <v>1441</v>
      </c>
      <c r="E762" s="801" t="s">
        <v>1711</v>
      </c>
      <c r="F762" s="634"/>
      <c r="G762" s="817"/>
      <c r="H762" s="634"/>
      <c r="I762" s="818"/>
      <c r="J762" s="634"/>
      <c r="K762" s="634"/>
      <c r="L762" s="785"/>
      <c r="M762" s="785"/>
      <c r="N762" s="773"/>
    </row>
    <row r="763" spans="1:14" ht="38.25" x14ac:dyDescent="0.25">
      <c r="A763" s="731" t="s">
        <v>1439</v>
      </c>
      <c r="B763" s="696" t="s">
        <v>1461</v>
      </c>
      <c r="C763" s="800" t="s">
        <v>1717</v>
      </c>
      <c r="D763" s="813" t="s">
        <v>1441</v>
      </c>
      <c r="E763" s="801" t="s">
        <v>1711</v>
      </c>
      <c r="F763" s="638"/>
      <c r="G763" s="819"/>
      <c r="H763" s="638"/>
      <c r="I763" s="820"/>
      <c r="J763" s="638"/>
      <c r="K763" s="638"/>
      <c r="L763" s="787"/>
      <c r="M763" s="787"/>
      <c r="N763" s="646"/>
    </row>
    <row r="764" spans="1:14" ht="25.5" x14ac:dyDescent="0.25">
      <c r="A764" s="821" t="s">
        <v>1439</v>
      </c>
      <c r="B764" s="680" t="s">
        <v>1461</v>
      </c>
      <c r="C764" s="43" t="s">
        <v>1718</v>
      </c>
      <c r="D764" s="682" t="s">
        <v>1441</v>
      </c>
      <c r="E764" s="801" t="s">
        <v>1711</v>
      </c>
      <c r="F764" s="667" t="s">
        <v>24</v>
      </c>
      <c r="G764" s="822" t="s">
        <v>388</v>
      </c>
      <c r="H764" s="24" t="s">
        <v>1472</v>
      </c>
      <c r="I764" s="823">
        <v>30000000</v>
      </c>
      <c r="J764" s="48" t="s">
        <v>24</v>
      </c>
      <c r="K764" s="48" t="s">
        <v>24</v>
      </c>
      <c r="L764" s="730">
        <v>0</v>
      </c>
      <c r="M764" s="686">
        <v>0</v>
      </c>
      <c r="N764" s="773" t="s">
        <v>1435</v>
      </c>
    </row>
    <row r="765" spans="1:14" ht="15.75" thickBot="1" x14ac:dyDescent="0.3">
      <c r="A765" s="821"/>
      <c r="B765" s="680" t="s">
        <v>1461</v>
      </c>
      <c r="C765" s="43" t="s">
        <v>1534</v>
      </c>
      <c r="D765" s="682" t="s">
        <v>1441</v>
      </c>
      <c r="E765" s="801" t="s">
        <v>1711</v>
      </c>
      <c r="F765" s="667"/>
      <c r="G765" s="822"/>
      <c r="H765" s="24"/>
      <c r="I765" s="823"/>
      <c r="J765" s="48" t="s">
        <v>24</v>
      </c>
      <c r="K765" s="48" t="s">
        <v>24</v>
      </c>
      <c r="L765" s="730">
        <v>0</v>
      </c>
      <c r="M765" s="686">
        <v>0</v>
      </c>
      <c r="N765" s="646"/>
    </row>
    <row r="766" spans="1:14" x14ac:dyDescent="0.25">
      <c r="A766" s="789" t="s">
        <v>1719</v>
      </c>
      <c r="B766" s="790"/>
      <c r="C766" s="791"/>
      <c r="D766" s="792"/>
      <c r="E766" s="792"/>
      <c r="F766" s="792"/>
      <c r="G766" s="792"/>
      <c r="H766" s="792"/>
      <c r="I766" s="793"/>
      <c r="J766" s="791"/>
      <c r="K766" s="792"/>
      <c r="L766" s="791"/>
      <c r="M766" s="791"/>
      <c r="N766" s="748"/>
    </row>
    <row r="767" spans="1:14" ht="63.75" x14ac:dyDescent="0.25">
      <c r="A767" s="731" t="s">
        <v>1439</v>
      </c>
      <c r="B767" s="824" t="s">
        <v>1461</v>
      </c>
      <c r="C767" s="825" t="s">
        <v>1720</v>
      </c>
      <c r="D767" s="805" t="s">
        <v>1441</v>
      </c>
      <c r="E767" s="824" t="s">
        <v>1721</v>
      </c>
      <c r="F767" s="802" t="s">
        <v>1722</v>
      </c>
      <c r="G767" s="813" t="s">
        <v>388</v>
      </c>
      <c r="H767" s="803" t="s">
        <v>1723</v>
      </c>
      <c r="I767" s="826">
        <v>399024.54</v>
      </c>
      <c r="J767" s="802" t="s">
        <v>1724</v>
      </c>
      <c r="K767" s="802" t="s">
        <v>1725</v>
      </c>
      <c r="L767" s="779">
        <v>1</v>
      </c>
      <c r="M767" s="779">
        <v>0</v>
      </c>
      <c r="N767" s="827" t="s">
        <v>1545</v>
      </c>
    </row>
    <row r="768" spans="1:14" ht="38.25" x14ac:dyDescent="0.25">
      <c r="A768" s="731" t="s">
        <v>1439</v>
      </c>
      <c r="B768" s="696" t="s">
        <v>1461</v>
      </c>
      <c r="C768" s="782" t="s">
        <v>1726</v>
      </c>
      <c r="D768" s="805" t="s">
        <v>1441</v>
      </c>
      <c r="E768" s="801" t="s">
        <v>1721</v>
      </c>
      <c r="F768" s="813" t="s">
        <v>24</v>
      </c>
      <c r="G768" s="813" t="s">
        <v>388</v>
      </c>
      <c r="H768" s="30" t="s">
        <v>1444</v>
      </c>
      <c r="I768" s="775">
        <v>1060000</v>
      </c>
      <c r="J768" s="30" t="s">
        <v>24</v>
      </c>
      <c r="K768" s="802" t="s">
        <v>24</v>
      </c>
      <c r="L768" s="828">
        <v>0</v>
      </c>
      <c r="M768" s="829">
        <v>0</v>
      </c>
      <c r="N768" s="623" t="s">
        <v>1435</v>
      </c>
    </row>
    <row r="769" spans="1:14" ht="89.25" x14ac:dyDescent="0.25">
      <c r="A769" s="731" t="s">
        <v>1439</v>
      </c>
      <c r="B769" s="696" t="s">
        <v>1461</v>
      </c>
      <c r="C769" s="782" t="s">
        <v>1462</v>
      </c>
      <c r="D769" s="805" t="s">
        <v>1441</v>
      </c>
      <c r="E769" s="801" t="s">
        <v>1721</v>
      </c>
      <c r="F769" s="802" t="s">
        <v>1438</v>
      </c>
      <c r="G769" s="813" t="s">
        <v>388</v>
      </c>
      <c r="H769" s="803" t="s">
        <v>1465</v>
      </c>
      <c r="I769" s="775">
        <v>9400425.5099999998</v>
      </c>
      <c r="J769" s="30" t="s">
        <v>1727</v>
      </c>
      <c r="K769" s="802" t="s">
        <v>1728</v>
      </c>
      <c r="L769" s="830">
        <v>0.88929999999999998</v>
      </c>
      <c r="M769" s="831">
        <v>0.9526</v>
      </c>
      <c r="N769" s="623" t="s">
        <v>1729</v>
      </c>
    </row>
    <row r="770" spans="1:14" ht="38.25" x14ac:dyDescent="0.25">
      <c r="A770" s="731" t="s">
        <v>1439</v>
      </c>
      <c r="B770" s="696" t="s">
        <v>1461</v>
      </c>
      <c r="C770" s="782" t="s">
        <v>1470</v>
      </c>
      <c r="D770" s="805" t="s">
        <v>1441</v>
      </c>
      <c r="E770" s="801" t="s">
        <v>1721</v>
      </c>
      <c r="F770" s="629" t="s">
        <v>1438</v>
      </c>
      <c r="G770" s="813" t="s">
        <v>388</v>
      </c>
      <c r="H770" s="629" t="s">
        <v>1472</v>
      </c>
      <c r="I770" s="665">
        <v>15973180.92</v>
      </c>
      <c r="J770" s="629" t="s">
        <v>24</v>
      </c>
      <c r="K770" s="629" t="s">
        <v>24</v>
      </c>
      <c r="L770" s="781">
        <v>0</v>
      </c>
      <c r="M770" s="781">
        <v>0</v>
      </c>
      <c r="N770" s="643" t="s">
        <v>1729</v>
      </c>
    </row>
    <row r="771" spans="1:14" ht="38.25" x14ac:dyDescent="0.25">
      <c r="A771" s="731" t="s">
        <v>1439</v>
      </c>
      <c r="B771" s="696" t="s">
        <v>1461</v>
      </c>
      <c r="C771" s="782" t="s">
        <v>1730</v>
      </c>
      <c r="D771" s="805" t="s">
        <v>1441</v>
      </c>
      <c r="E771" s="801" t="s">
        <v>1721</v>
      </c>
      <c r="F771" s="634"/>
      <c r="G771" s="813" t="s">
        <v>388</v>
      </c>
      <c r="H771" s="634"/>
      <c r="I771" s="783"/>
      <c r="J771" s="634"/>
      <c r="K771" s="634"/>
      <c r="L771" s="785"/>
      <c r="M771" s="785"/>
      <c r="N771" s="773"/>
    </row>
    <row r="772" spans="1:14" ht="38.25" x14ac:dyDescent="0.25">
      <c r="A772" s="731" t="s">
        <v>1439</v>
      </c>
      <c r="B772" s="696" t="s">
        <v>1461</v>
      </c>
      <c r="C772" s="782" t="s">
        <v>1534</v>
      </c>
      <c r="D772" s="805" t="s">
        <v>1441</v>
      </c>
      <c r="E772" s="801" t="s">
        <v>1721</v>
      </c>
      <c r="F772" s="634"/>
      <c r="G772" s="813" t="s">
        <v>388</v>
      </c>
      <c r="H772" s="634"/>
      <c r="I772" s="783"/>
      <c r="J772" s="634"/>
      <c r="K772" s="634"/>
      <c r="L772" s="785"/>
      <c r="M772" s="785"/>
      <c r="N772" s="773"/>
    </row>
    <row r="773" spans="1:14" ht="38.25" x14ac:dyDescent="0.25">
      <c r="A773" s="832" t="s">
        <v>1439</v>
      </c>
      <c r="B773" s="671" t="s">
        <v>1461</v>
      </c>
      <c r="C773" s="833" t="s">
        <v>1731</v>
      </c>
      <c r="D773" s="834" t="s">
        <v>1441</v>
      </c>
      <c r="E773" s="835" t="s">
        <v>1721</v>
      </c>
      <c r="F773" s="634"/>
      <c r="G773" s="836" t="s">
        <v>388</v>
      </c>
      <c r="H773" s="634"/>
      <c r="I773" s="783"/>
      <c r="J773" s="634"/>
      <c r="K773" s="634"/>
      <c r="L773" s="785"/>
      <c r="M773" s="785"/>
      <c r="N773" s="646"/>
    </row>
    <row r="774" spans="1:14" ht="38.25" x14ac:dyDescent="0.25">
      <c r="A774" s="43" t="s">
        <v>1439</v>
      </c>
      <c r="B774" s="696" t="s">
        <v>1461</v>
      </c>
      <c r="C774" s="43" t="s">
        <v>1732</v>
      </c>
      <c r="D774" s="837" t="s">
        <v>1441</v>
      </c>
      <c r="E774" s="801" t="s">
        <v>1721</v>
      </c>
      <c r="F774" s="30" t="s">
        <v>24</v>
      </c>
      <c r="G774" s="30" t="s">
        <v>388</v>
      </c>
      <c r="H774" s="30" t="s">
        <v>1607</v>
      </c>
      <c r="I774" s="775">
        <v>11000000</v>
      </c>
      <c r="J774" s="30" t="s">
        <v>24</v>
      </c>
      <c r="K774" s="30" t="s">
        <v>24</v>
      </c>
      <c r="L774" s="778">
        <v>0</v>
      </c>
      <c r="M774" s="778">
        <v>0</v>
      </c>
      <c r="N774" s="623" t="s">
        <v>1435</v>
      </c>
    </row>
    <row r="775" spans="1:14" x14ac:dyDescent="0.25">
      <c r="A775" s="735" t="s">
        <v>1733</v>
      </c>
      <c r="B775" s="736"/>
      <c r="C775" s="737"/>
      <c r="D775" s="738"/>
      <c r="E775" s="738"/>
      <c r="F775" s="738"/>
      <c r="G775" s="738"/>
      <c r="H775" s="738"/>
      <c r="I775" s="739"/>
      <c r="J775" s="737"/>
      <c r="K775" s="738"/>
      <c r="L775" s="737"/>
      <c r="M775" s="737"/>
      <c r="N775" s="748"/>
    </row>
    <row r="776" spans="1:14" ht="51" x14ac:dyDescent="0.25">
      <c r="A776" s="731" t="s">
        <v>1439</v>
      </c>
      <c r="B776" s="824" t="s">
        <v>1461</v>
      </c>
      <c r="C776" s="838" t="s">
        <v>1734</v>
      </c>
      <c r="D776" s="813" t="s">
        <v>1441</v>
      </c>
      <c r="E776" s="824" t="s">
        <v>1735</v>
      </c>
      <c r="F776" s="661" t="s">
        <v>1736</v>
      </c>
      <c r="G776" s="683" t="s">
        <v>388</v>
      </c>
      <c r="H776" s="803" t="s">
        <v>1737</v>
      </c>
      <c r="I776" s="677">
        <v>2194966.4</v>
      </c>
      <c r="J776" s="30" t="s">
        <v>1738</v>
      </c>
      <c r="K776" s="30" t="s">
        <v>1728</v>
      </c>
      <c r="L776" s="839">
        <v>0.55610000000000004</v>
      </c>
      <c r="M776" s="840">
        <v>0</v>
      </c>
      <c r="N776" s="841" t="s">
        <v>1432</v>
      </c>
    </row>
    <row r="777" spans="1:14" ht="76.5" x14ac:dyDescent="0.25">
      <c r="A777" s="731" t="s">
        <v>1439</v>
      </c>
      <c r="B777" s="824" t="s">
        <v>1461</v>
      </c>
      <c r="C777" s="842" t="s">
        <v>1739</v>
      </c>
      <c r="D777" s="813" t="s">
        <v>1441</v>
      </c>
      <c r="E777" s="824" t="s">
        <v>1735</v>
      </c>
      <c r="F777" s="30" t="s">
        <v>1740</v>
      </c>
      <c r="G777" s="813" t="s">
        <v>388</v>
      </c>
      <c r="H777" s="813" t="s">
        <v>1484</v>
      </c>
      <c r="I777" s="826">
        <v>1998000</v>
      </c>
      <c r="J777" s="30" t="s">
        <v>1741</v>
      </c>
      <c r="K777" s="30" t="s">
        <v>1742</v>
      </c>
      <c r="L777" s="707">
        <v>1</v>
      </c>
      <c r="M777" s="707">
        <v>1</v>
      </c>
      <c r="N777" s="709" t="s">
        <v>1545</v>
      </c>
    </row>
    <row r="778" spans="1:14" ht="51" x14ac:dyDescent="0.25">
      <c r="A778" s="765" t="s">
        <v>1439</v>
      </c>
      <c r="B778" s="723" t="s">
        <v>1461</v>
      </c>
      <c r="C778" s="838" t="s">
        <v>1743</v>
      </c>
      <c r="D778" s="656" t="s">
        <v>1441</v>
      </c>
      <c r="E778" s="843" t="s">
        <v>1735</v>
      </c>
      <c r="F778" s="661" t="s">
        <v>1744</v>
      </c>
      <c r="G778" s="725" t="s">
        <v>388</v>
      </c>
      <c r="H778" s="724" t="s">
        <v>1572</v>
      </c>
      <c r="I778" s="677">
        <v>770866.83</v>
      </c>
      <c r="J778" s="30" t="s">
        <v>1745</v>
      </c>
      <c r="K778" s="30" t="s">
        <v>1746</v>
      </c>
      <c r="L778" s="707">
        <v>1</v>
      </c>
      <c r="M778" s="840">
        <v>0</v>
      </c>
      <c r="N778" s="709" t="s">
        <v>1432</v>
      </c>
    </row>
    <row r="779" spans="1:14" ht="51" x14ac:dyDescent="0.25">
      <c r="A779" s="765" t="s">
        <v>1439</v>
      </c>
      <c r="B779" s="723" t="s">
        <v>1461</v>
      </c>
      <c r="C779" s="838" t="s">
        <v>1743</v>
      </c>
      <c r="D779" s="656" t="s">
        <v>1441</v>
      </c>
      <c r="E779" s="843" t="s">
        <v>1735</v>
      </c>
      <c r="F779" s="813" t="s">
        <v>24</v>
      </c>
      <c r="G779" s="725" t="s">
        <v>388</v>
      </c>
      <c r="H779" s="724" t="s">
        <v>1747</v>
      </c>
      <c r="I779" s="677">
        <v>1200000</v>
      </c>
      <c r="J779" s="30" t="s">
        <v>24</v>
      </c>
      <c r="K779" s="30" t="s">
        <v>24</v>
      </c>
      <c r="L779" s="707">
        <v>0</v>
      </c>
      <c r="M779" s="840">
        <v>0</v>
      </c>
      <c r="N779" s="623" t="s">
        <v>1435</v>
      </c>
    </row>
    <row r="780" spans="1:14" ht="38.25" x14ac:dyDescent="0.25">
      <c r="A780" s="731" t="s">
        <v>1439</v>
      </c>
      <c r="B780" s="696" t="s">
        <v>1461</v>
      </c>
      <c r="C780" s="688" t="s">
        <v>1470</v>
      </c>
      <c r="D780" s="805" t="s">
        <v>1441</v>
      </c>
      <c r="E780" s="843" t="s">
        <v>1735</v>
      </c>
      <c r="F780" s="629" t="s">
        <v>1748</v>
      </c>
      <c r="G780" s="725" t="s">
        <v>388</v>
      </c>
      <c r="H780" s="629" t="s">
        <v>1465</v>
      </c>
      <c r="I780" s="844">
        <v>15998874.73</v>
      </c>
      <c r="J780" s="629" t="s">
        <v>1625</v>
      </c>
      <c r="K780" s="629" t="s">
        <v>1749</v>
      </c>
      <c r="L780" s="845">
        <v>1</v>
      </c>
      <c r="M780" s="846">
        <v>0.42220000000000002</v>
      </c>
      <c r="N780" s="643" t="s">
        <v>1432</v>
      </c>
    </row>
    <row r="781" spans="1:14" ht="38.25" x14ac:dyDescent="0.25">
      <c r="A781" s="731" t="s">
        <v>1439</v>
      </c>
      <c r="B781" s="696" t="s">
        <v>1461</v>
      </c>
      <c r="C781" s="800" t="s">
        <v>1750</v>
      </c>
      <c r="D781" s="805" t="s">
        <v>1441</v>
      </c>
      <c r="E781" s="843" t="s">
        <v>1735</v>
      </c>
      <c r="F781" s="638"/>
      <c r="G781" s="28" t="s">
        <v>388</v>
      </c>
      <c r="H781" s="638"/>
      <c r="I781" s="847"/>
      <c r="J781" s="638"/>
      <c r="K781" s="638"/>
      <c r="L781" s="848"/>
      <c r="M781" s="849"/>
      <c r="N781" s="646"/>
    </row>
  </sheetData>
  <protectedRanges>
    <protectedRange sqref="I14" name="Range1_5_1" securityDescriptor="O:WDG:WDD:(A;;CC;;;WD)"/>
    <protectedRange sqref="C19" name="Range2_21_1" securityDescriptor="O:WDG:WDD:(A;;CC;;;WD)"/>
    <protectedRange sqref="D17:D18 I17 A16" name="Range1_38_1_2" securityDescriptor="O:WDG:WDD:(A;;CC;;;WD)"/>
    <protectedRange sqref="A17:A18" name="Range1_7_1_2_1" securityDescriptor="O:WDG:WDD:(A;;CC;;;WD)"/>
    <protectedRange sqref="D16" name="Range1_7_2_1" securityDescriptor="O:WDG:WDD:(A;;CC;;;WD)"/>
    <protectedRange sqref="A22" name="Range1_38_1" securityDescriptor="O:WDG:WDD:(A;;CC;;;WD)"/>
    <protectedRange sqref="I68:I69" name="Range1_5_1_1" securityDescriptor="O:WDG:WDD:(A;;CC;;;WD)"/>
    <protectedRange sqref="A103:B105" name="Range1_2_1_1_3_1" securityDescriptor="O:WDG:WDD:(A;;CC;;;WD)"/>
    <protectedRange sqref="C117" name="Range1_1_1_1" securityDescriptor="O:WDG:WDD:(A;;CC;;;WD)"/>
  </protectedRanges>
  <mergeCells count="728">
    <mergeCell ref="A631:N631"/>
    <mergeCell ref="E619:E621"/>
    <mergeCell ref="F619:F621"/>
    <mergeCell ref="G619:G621"/>
    <mergeCell ref="H619:H621"/>
    <mergeCell ref="I619:I621"/>
    <mergeCell ref="J619:J621"/>
    <mergeCell ref="K619:K621"/>
    <mergeCell ref="N619:N621"/>
    <mergeCell ref="E622:E623"/>
    <mergeCell ref="F622:F623"/>
    <mergeCell ref="G622:G623"/>
    <mergeCell ref="H622:H623"/>
    <mergeCell ref="I622:I623"/>
    <mergeCell ref="J622:J623"/>
    <mergeCell ref="K622:K623"/>
    <mergeCell ref="N622:N623"/>
    <mergeCell ref="A614:N614"/>
    <mergeCell ref="A615:N615"/>
    <mergeCell ref="E616:E618"/>
    <mergeCell ref="F616:F618"/>
    <mergeCell ref="G616:G618"/>
    <mergeCell ref="H616:H618"/>
    <mergeCell ref="I616:I618"/>
    <mergeCell ref="J616:J618"/>
    <mergeCell ref="K616:K618"/>
    <mergeCell ref="N616:N618"/>
    <mergeCell ref="G579:G582"/>
    <mergeCell ref="H579:H582"/>
    <mergeCell ref="G583:G585"/>
    <mergeCell ref="H583:H585"/>
    <mergeCell ref="J583:J585"/>
    <mergeCell ref="K583:K585"/>
    <mergeCell ref="A592:N592"/>
    <mergeCell ref="C602:C610"/>
    <mergeCell ref="A571:N571"/>
    <mergeCell ref="A572:N572"/>
    <mergeCell ref="A574:N574"/>
    <mergeCell ref="F575:F576"/>
    <mergeCell ref="G575:G577"/>
    <mergeCell ref="H575:H577"/>
    <mergeCell ref="I575:I576"/>
    <mergeCell ref="J575:J576"/>
    <mergeCell ref="K575:K576"/>
    <mergeCell ref="L575:L576"/>
    <mergeCell ref="M575:M576"/>
    <mergeCell ref="N575:N576"/>
    <mergeCell ref="C564:C566"/>
    <mergeCell ref="E564:E566"/>
    <mergeCell ref="H564:H566"/>
    <mergeCell ref="I564:I566"/>
    <mergeCell ref="J564:J566"/>
    <mergeCell ref="K564:K566"/>
    <mergeCell ref="C569:C570"/>
    <mergeCell ref="H569:H570"/>
    <mergeCell ref="I569:I570"/>
    <mergeCell ref="J569:J570"/>
    <mergeCell ref="K569:K570"/>
    <mergeCell ref="C559:C560"/>
    <mergeCell ref="F559:F560"/>
    <mergeCell ref="G559:G560"/>
    <mergeCell ref="H559:H560"/>
    <mergeCell ref="I559:I560"/>
    <mergeCell ref="J559:J560"/>
    <mergeCell ref="K559:K560"/>
    <mergeCell ref="N559:N560"/>
    <mergeCell ref="A561:N561"/>
    <mergeCell ref="A539:N539"/>
    <mergeCell ref="A542:N542"/>
    <mergeCell ref="A543:N543"/>
    <mergeCell ref="A546:N546"/>
    <mergeCell ref="A548:N548"/>
    <mergeCell ref="A550:N550"/>
    <mergeCell ref="C552:C556"/>
    <mergeCell ref="E552:E554"/>
    <mergeCell ref="F552:F555"/>
    <mergeCell ref="G552:G555"/>
    <mergeCell ref="H552:H555"/>
    <mergeCell ref="I552:I555"/>
    <mergeCell ref="J552:J555"/>
    <mergeCell ref="K552:K555"/>
    <mergeCell ref="N552:N555"/>
    <mergeCell ref="A509:N509"/>
    <mergeCell ref="A511:N511"/>
    <mergeCell ref="B514:B516"/>
    <mergeCell ref="C514:C516"/>
    <mergeCell ref="A517:N517"/>
    <mergeCell ref="A518:N518"/>
    <mergeCell ref="A524:N524"/>
    <mergeCell ref="A535:N535"/>
    <mergeCell ref="A536:N536"/>
    <mergeCell ref="A482:N482"/>
    <mergeCell ref="A491:N491"/>
    <mergeCell ref="A492:N492"/>
    <mergeCell ref="A495:N495"/>
    <mergeCell ref="A498:N498"/>
    <mergeCell ref="A499:N499"/>
    <mergeCell ref="A503:N503"/>
    <mergeCell ref="C504:C505"/>
    <mergeCell ref="A508:N508"/>
    <mergeCell ref="A464:N464"/>
    <mergeCell ref="A465:N465"/>
    <mergeCell ref="A470:N470"/>
    <mergeCell ref="A471:N471"/>
    <mergeCell ref="A474:N474"/>
    <mergeCell ref="B475:B476"/>
    <mergeCell ref="C475:C476"/>
    <mergeCell ref="D475:D476"/>
    <mergeCell ref="E475:E476"/>
    <mergeCell ref="F475:F476"/>
    <mergeCell ref="G475:G476"/>
    <mergeCell ref="H475:H476"/>
    <mergeCell ref="I475:I476"/>
    <mergeCell ref="J475:J476"/>
    <mergeCell ref="K475:K476"/>
    <mergeCell ref="L475:L476"/>
    <mergeCell ref="M475:M476"/>
    <mergeCell ref="N475:N476"/>
    <mergeCell ref="A450:N450"/>
    <mergeCell ref="C452:C453"/>
    <mergeCell ref="I452:I453"/>
    <mergeCell ref="C457:C458"/>
    <mergeCell ref="H457:H458"/>
    <mergeCell ref="I457:I458"/>
    <mergeCell ref="J457:J458"/>
    <mergeCell ref="K457:K458"/>
    <mergeCell ref="C462:C463"/>
    <mergeCell ref="E462:E463"/>
    <mergeCell ref="H462:H463"/>
    <mergeCell ref="I462:I463"/>
    <mergeCell ref="J462:J463"/>
    <mergeCell ref="K462:K463"/>
    <mergeCell ref="C439:C440"/>
    <mergeCell ref="N439:N440"/>
    <mergeCell ref="C448:C449"/>
    <mergeCell ref="E448:E449"/>
    <mergeCell ref="F448:F449"/>
    <mergeCell ref="G448:G449"/>
    <mergeCell ref="H448:H449"/>
    <mergeCell ref="I448:I449"/>
    <mergeCell ref="J448:J449"/>
    <mergeCell ref="K448:K449"/>
    <mergeCell ref="L448:L449"/>
    <mergeCell ref="M448:M449"/>
    <mergeCell ref="N448:N449"/>
    <mergeCell ref="A409:N409"/>
    <mergeCell ref="A410:N410"/>
    <mergeCell ref="N418:N419"/>
    <mergeCell ref="A423:N423"/>
    <mergeCell ref="C424:C425"/>
    <mergeCell ref="A436:N436"/>
    <mergeCell ref="A437:N437"/>
    <mergeCell ref="A408:N408"/>
    <mergeCell ref="B389:B397"/>
    <mergeCell ref="C391:C392"/>
    <mergeCell ref="G393:G395"/>
    <mergeCell ref="A399:N399"/>
    <mergeCell ref="A400:A401"/>
    <mergeCell ref="B400:B401"/>
    <mergeCell ref="C400:C401"/>
    <mergeCell ref="D400:D401"/>
    <mergeCell ref="E400:E401"/>
    <mergeCell ref="F400:F401"/>
    <mergeCell ref="G400:G401"/>
    <mergeCell ref="H400:H401"/>
    <mergeCell ref="I400:I401"/>
    <mergeCell ref="J400:K400"/>
    <mergeCell ref="L400:M400"/>
    <mergeCell ref="N400:N401"/>
    <mergeCell ref="N377:N378"/>
    <mergeCell ref="A388:N388"/>
    <mergeCell ref="H361:H364"/>
    <mergeCell ref="E362:E364"/>
    <mergeCell ref="H365:H366"/>
    <mergeCell ref="C371:C378"/>
    <mergeCell ref="D373:D375"/>
    <mergeCell ref="E373:E375"/>
    <mergeCell ref="B374:B378"/>
    <mergeCell ref="D376:D378"/>
    <mergeCell ref="E376:E378"/>
    <mergeCell ref="A357:N357"/>
    <mergeCell ref="A168:N168"/>
    <mergeCell ref="M129:M132"/>
    <mergeCell ref="M119:M121"/>
    <mergeCell ref="A167:D167"/>
    <mergeCell ref="B137:B138"/>
    <mergeCell ref="B139:B140"/>
    <mergeCell ref="B141:B142"/>
    <mergeCell ref="B143:B146"/>
    <mergeCell ref="B150:B152"/>
    <mergeCell ref="C134:C136"/>
    <mergeCell ref="B134:B136"/>
    <mergeCell ref="A134:A136"/>
    <mergeCell ref="A160:A166"/>
    <mergeCell ref="C160:C166"/>
    <mergeCell ref="B160:B166"/>
    <mergeCell ref="A137:A138"/>
    <mergeCell ref="C137:C138"/>
    <mergeCell ref="A139:A140"/>
    <mergeCell ref="C139:C140"/>
    <mergeCell ref="A141:A142"/>
    <mergeCell ref="C141:C142"/>
    <mergeCell ref="A147:A148"/>
    <mergeCell ref="B147:B148"/>
    <mergeCell ref="C143:C146"/>
    <mergeCell ref="A143:A146"/>
    <mergeCell ref="N119:N121"/>
    <mergeCell ref="E123:E128"/>
    <mergeCell ref="F123:F128"/>
    <mergeCell ref="G123:G128"/>
    <mergeCell ref="H123:H128"/>
    <mergeCell ref="I123:I128"/>
    <mergeCell ref="J123:J128"/>
    <mergeCell ref="K123:K128"/>
    <mergeCell ref="L123:L128"/>
    <mergeCell ref="M123:M128"/>
    <mergeCell ref="N123:N128"/>
    <mergeCell ref="J119:J121"/>
    <mergeCell ref="B129:B133"/>
    <mergeCell ref="A129:A133"/>
    <mergeCell ref="K119:K121"/>
    <mergeCell ref="L119:L121"/>
    <mergeCell ref="E134:E135"/>
    <mergeCell ref="C119:C121"/>
    <mergeCell ref="B119:B121"/>
    <mergeCell ref="A119:A121"/>
    <mergeCell ref="E119:E121"/>
    <mergeCell ref="F119:F121"/>
    <mergeCell ref="G119:G121"/>
    <mergeCell ref="H119:H121"/>
    <mergeCell ref="I119:I121"/>
    <mergeCell ref="N129:N132"/>
    <mergeCell ref="E139:E140"/>
    <mergeCell ref="F139:F140"/>
    <mergeCell ref="G139:G140"/>
    <mergeCell ref="H139:H140"/>
    <mergeCell ref="I139:I140"/>
    <mergeCell ref="J139:J140"/>
    <mergeCell ref="K139:K140"/>
    <mergeCell ref="L139:L140"/>
    <mergeCell ref="M139:M140"/>
    <mergeCell ref="N139:N140"/>
    <mergeCell ref="E129:E132"/>
    <mergeCell ref="F129:F132"/>
    <mergeCell ref="G129:G132"/>
    <mergeCell ref="N137:N138"/>
    <mergeCell ref="H129:H132"/>
    <mergeCell ref="I129:I132"/>
    <mergeCell ref="J129:J132"/>
    <mergeCell ref="K129:K132"/>
    <mergeCell ref="L129:L132"/>
    <mergeCell ref="K134:K135"/>
    <mergeCell ref="L134:L135"/>
    <mergeCell ref="M134:M135"/>
    <mergeCell ref="N134:N135"/>
    <mergeCell ref="L141:L142"/>
    <mergeCell ref="M141:M142"/>
    <mergeCell ref="E141:E142"/>
    <mergeCell ref="F141:F142"/>
    <mergeCell ref="G141:G142"/>
    <mergeCell ref="H141:H142"/>
    <mergeCell ref="I141:I142"/>
    <mergeCell ref="J141:J142"/>
    <mergeCell ref="K141:K142"/>
    <mergeCell ref="N103:N105"/>
    <mergeCell ref="M99:M101"/>
    <mergeCell ref="N106:N110"/>
    <mergeCell ref="I106:I110"/>
    <mergeCell ref="F134:F135"/>
    <mergeCell ref="G134:G135"/>
    <mergeCell ref="H134:H135"/>
    <mergeCell ref="I134:I135"/>
    <mergeCell ref="J134:J135"/>
    <mergeCell ref="K106:K110"/>
    <mergeCell ref="L106:L110"/>
    <mergeCell ref="M106:M110"/>
    <mergeCell ref="M111:M116"/>
    <mergeCell ref="I103:I105"/>
    <mergeCell ref="J103:J105"/>
    <mergeCell ref="K103:K105"/>
    <mergeCell ref="L103:L105"/>
    <mergeCell ref="H99:H101"/>
    <mergeCell ref="F103:F105"/>
    <mergeCell ref="G103:G105"/>
    <mergeCell ref="H103:H105"/>
    <mergeCell ref="F106:F110"/>
    <mergeCell ref="G106:G110"/>
    <mergeCell ref="H106:H110"/>
    <mergeCell ref="A72:A79"/>
    <mergeCell ref="L80:L88"/>
    <mergeCell ref="M80:M88"/>
    <mergeCell ref="N80:N88"/>
    <mergeCell ref="J80:J88"/>
    <mergeCell ref="K80:K88"/>
    <mergeCell ref="E72:E79"/>
    <mergeCell ref="F72:F79"/>
    <mergeCell ref="G72:G79"/>
    <mergeCell ref="H72:H79"/>
    <mergeCell ref="I72:I79"/>
    <mergeCell ref="A80:A88"/>
    <mergeCell ref="B80:B88"/>
    <mergeCell ref="C80:C88"/>
    <mergeCell ref="M72:M79"/>
    <mergeCell ref="N72:N79"/>
    <mergeCell ref="M147:M148"/>
    <mergeCell ref="J106:J110"/>
    <mergeCell ref="A98:N98"/>
    <mergeCell ref="H111:H116"/>
    <mergeCell ref="G137:G138"/>
    <mergeCell ref="I111:I116"/>
    <mergeCell ref="J111:J116"/>
    <mergeCell ref="K111:K116"/>
    <mergeCell ref="L111:L116"/>
    <mergeCell ref="N111:N116"/>
    <mergeCell ref="I99:I101"/>
    <mergeCell ref="J99:J101"/>
    <mergeCell ref="M137:M138"/>
    <mergeCell ref="E137:E138"/>
    <mergeCell ref="F137:F138"/>
    <mergeCell ref="C89:C92"/>
    <mergeCell ref="D89:D92"/>
    <mergeCell ref="E89:E92"/>
    <mergeCell ref="G89:G92"/>
    <mergeCell ref="H89:H92"/>
    <mergeCell ref="B72:B79"/>
    <mergeCell ref="C72:C79"/>
    <mergeCell ref="D72:D79"/>
    <mergeCell ref="F93:F95"/>
    <mergeCell ref="B89:B92"/>
    <mergeCell ref="G93:G95"/>
    <mergeCell ref="K99:K101"/>
    <mergeCell ref="L99:L101"/>
    <mergeCell ref="M103:M105"/>
    <mergeCell ref="E103:E105"/>
    <mergeCell ref="B103:B105"/>
    <mergeCell ref="B106:B110"/>
    <mergeCell ref="B111:B116"/>
    <mergeCell ref="C103:C105"/>
    <mergeCell ref="B99:B102"/>
    <mergeCell ref="E99:E101"/>
    <mergeCell ref="H80:H88"/>
    <mergeCell ref="I80:I88"/>
    <mergeCell ref="I89:I92"/>
    <mergeCell ref="N147:N148"/>
    <mergeCell ref="C99:C102"/>
    <mergeCell ref="C147:C148"/>
    <mergeCell ref="E147:E148"/>
    <mergeCell ref="N141:N142"/>
    <mergeCell ref="F143:F146"/>
    <mergeCell ref="G143:G146"/>
    <mergeCell ref="H143:H146"/>
    <mergeCell ref="I143:I146"/>
    <mergeCell ref="J143:J146"/>
    <mergeCell ref="K143:K146"/>
    <mergeCell ref="L143:L146"/>
    <mergeCell ref="N99:N101"/>
    <mergeCell ref="F99:F101"/>
    <mergeCell ref="F147:F148"/>
    <mergeCell ref="G147:G148"/>
    <mergeCell ref="H147:H148"/>
    <mergeCell ref="J137:J138"/>
    <mergeCell ref="K137:K138"/>
    <mergeCell ref="L137:L138"/>
    <mergeCell ref="H160:H166"/>
    <mergeCell ref="I160:I166"/>
    <mergeCell ref="J160:J166"/>
    <mergeCell ref="K160:K166"/>
    <mergeCell ref="L160:L166"/>
    <mergeCell ref="M93:M95"/>
    <mergeCell ref="H93:H95"/>
    <mergeCell ref="I93:I95"/>
    <mergeCell ref="J93:J95"/>
    <mergeCell ref="K93:K95"/>
    <mergeCell ref="L93:L95"/>
    <mergeCell ref="M89:M92"/>
    <mergeCell ref="N89:N92"/>
    <mergeCell ref="J89:J92"/>
    <mergeCell ref="K89:K92"/>
    <mergeCell ref="L89:L92"/>
    <mergeCell ref="N93:N95"/>
    <mergeCell ref="J72:J79"/>
    <mergeCell ref="K72:K79"/>
    <mergeCell ref="L72:L79"/>
    <mergeCell ref="C93:C95"/>
    <mergeCell ref="D93:D95"/>
    <mergeCell ref="E93:E95"/>
    <mergeCell ref="D80:D88"/>
    <mergeCell ref="E80:E88"/>
    <mergeCell ref="F80:F88"/>
    <mergeCell ref="G80:G88"/>
    <mergeCell ref="A89:A92"/>
    <mergeCell ref="C150:C152"/>
    <mergeCell ref="A103:A105"/>
    <mergeCell ref="A99:A102"/>
    <mergeCell ref="E111:E116"/>
    <mergeCell ref="F111:F116"/>
    <mergeCell ref="G111:G116"/>
    <mergeCell ref="G99:G101"/>
    <mergeCell ref="E106:E110"/>
    <mergeCell ref="A106:A110"/>
    <mergeCell ref="C106:C110"/>
    <mergeCell ref="C111:C116"/>
    <mergeCell ref="A111:A116"/>
    <mergeCell ref="C123:C128"/>
    <mergeCell ref="B123:B128"/>
    <mergeCell ref="A123:A128"/>
    <mergeCell ref="C129:C133"/>
    <mergeCell ref="A1:N1"/>
    <mergeCell ref="A2:N2"/>
    <mergeCell ref="A9:N9"/>
    <mergeCell ref="A3:N3"/>
    <mergeCell ref="A4:N4"/>
    <mergeCell ref="L7:M7"/>
    <mergeCell ref="N7:N8"/>
    <mergeCell ref="E7:E8"/>
    <mergeCell ref="F7:F8"/>
    <mergeCell ref="G7:G8"/>
    <mergeCell ref="H7:H8"/>
    <mergeCell ref="I7:I8"/>
    <mergeCell ref="J7:K7"/>
    <mergeCell ref="A7:A8"/>
    <mergeCell ref="B7:B8"/>
    <mergeCell ref="C7:C8"/>
    <mergeCell ref="D7:D8"/>
    <mergeCell ref="A173:N173"/>
    <mergeCell ref="N157:N158"/>
    <mergeCell ref="A157:A158"/>
    <mergeCell ref="B157:B158"/>
    <mergeCell ref="C157:C158"/>
    <mergeCell ref="E157:E158"/>
    <mergeCell ref="F157:F158"/>
    <mergeCell ref="A150:A152"/>
    <mergeCell ref="E150:E152"/>
    <mergeCell ref="G150:G152"/>
    <mergeCell ref="J150:J152"/>
    <mergeCell ref="F150:F152"/>
    <mergeCell ref="H150:H152"/>
    <mergeCell ref="I150:I152"/>
    <mergeCell ref="M160:M166"/>
    <mergeCell ref="K157:K158"/>
    <mergeCell ref="L157:L158"/>
    <mergeCell ref="M157:M158"/>
    <mergeCell ref="G157:G158"/>
    <mergeCell ref="H157:H158"/>
    <mergeCell ref="I157:I158"/>
    <mergeCell ref="J157:J158"/>
    <mergeCell ref="G160:G166"/>
    <mergeCell ref="A22:A23"/>
    <mergeCell ref="A38:A39"/>
    <mergeCell ref="D38:D39"/>
    <mergeCell ref="L150:L152"/>
    <mergeCell ref="I169:I170"/>
    <mergeCell ref="B169:B170"/>
    <mergeCell ref="C169:C170"/>
    <mergeCell ref="A169:A170"/>
    <mergeCell ref="H169:H170"/>
    <mergeCell ref="I147:I148"/>
    <mergeCell ref="J147:J148"/>
    <mergeCell ref="K147:K148"/>
    <mergeCell ref="L147:L148"/>
    <mergeCell ref="A46:A47"/>
    <mergeCell ref="B46:B47"/>
    <mergeCell ref="A55:A56"/>
    <mergeCell ref="B55:B56"/>
    <mergeCell ref="A60:A61"/>
    <mergeCell ref="E143:E146"/>
    <mergeCell ref="A122:D122"/>
    <mergeCell ref="A93:A95"/>
    <mergeCell ref="B93:B95"/>
    <mergeCell ref="F89:F92"/>
    <mergeCell ref="L193:L194"/>
    <mergeCell ref="M193:M194"/>
    <mergeCell ref="A71:N71"/>
    <mergeCell ref="A159:D159"/>
    <mergeCell ref="E160:E166"/>
    <mergeCell ref="F160:F166"/>
    <mergeCell ref="N160:N166"/>
    <mergeCell ref="M150:M152"/>
    <mergeCell ref="N150:N152"/>
    <mergeCell ref="H137:H138"/>
    <mergeCell ref="I137:I138"/>
    <mergeCell ref="A149:D149"/>
    <mergeCell ref="M143:M146"/>
    <mergeCell ref="N143:N146"/>
    <mergeCell ref="K150:K152"/>
    <mergeCell ref="D193:D194"/>
    <mergeCell ref="E193:E194"/>
    <mergeCell ref="A185:A188"/>
    <mergeCell ref="B185:B188"/>
    <mergeCell ref="C185:C188"/>
    <mergeCell ref="A189:A191"/>
    <mergeCell ref="B189:B191"/>
    <mergeCell ref="C189:C191"/>
    <mergeCell ref="K193:K194"/>
    <mergeCell ref="M195:M196"/>
    <mergeCell ref="N195:N196"/>
    <mergeCell ref="A175:A184"/>
    <mergeCell ref="B175:B184"/>
    <mergeCell ref="C175:C184"/>
    <mergeCell ref="D175:D176"/>
    <mergeCell ref="E175:E176"/>
    <mergeCell ref="F175:F176"/>
    <mergeCell ref="G175:G176"/>
    <mergeCell ref="H175:H176"/>
    <mergeCell ref="I175:I176"/>
    <mergeCell ref="J175:J176"/>
    <mergeCell ref="K175:K176"/>
    <mergeCell ref="L175:L176"/>
    <mergeCell ref="M175:M176"/>
    <mergeCell ref="N175:N176"/>
    <mergeCell ref="G197:G198"/>
    <mergeCell ref="H197:H198"/>
    <mergeCell ref="I197:I198"/>
    <mergeCell ref="N193:N194"/>
    <mergeCell ref="A195:A196"/>
    <mergeCell ref="B195:B196"/>
    <mergeCell ref="C195:C196"/>
    <mergeCell ref="D195:D196"/>
    <mergeCell ref="E195:E196"/>
    <mergeCell ref="F195:F196"/>
    <mergeCell ref="G195:G196"/>
    <mergeCell ref="H195:H196"/>
    <mergeCell ref="I195:I196"/>
    <mergeCell ref="J195:J196"/>
    <mergeCell ref="K195:K196"/>
    <mergeCell ref="L195:L196"/>
    <mergeCell ref="F193:F194"/>
    <mergeCell ref="G193:G194"/>
    <mergeCell ref="H193:H194"/>
    <mergeCell ref="I193:I194"/>
    <mergeCell ref="J193:J194"/>
    <mergeCell ref="A193:A194"/>
    <mergeCell ref="B193:B194"/>
    <mergeCell ref="C193:C194"/>
    <mergeCell ref="J197:J198"/>
    <mergeCell ref="K197:K198"/>
    <mergeCell ref="L197:L198"/>
    <mergeCell ref="M197:M198"/>
    <mergeCell ref="N197:N198"/>
    <mergeCell ref="A199:N199"/>
    <mergeCell ref="A197:A198"/>
    <mergeCell ref="B197:B198"/>
    <mergeCell ref="C197:C198"/>
    <mergeCell ref="D197:D198"/>
    <mergeCell ref="E197:E198"/>
    <mergeCell ref="F197:F198"/>
    <mergeCell ref="A336:N336"/>
    <mergeCell ref="A643:N643"/>
    <mergeCell ref="F644:F646"/>
    <mergeCell ref="G644:G646"/>
    <mergeCell ref="H644:H646"/>
    <mergeCell ref="I644:I646"/>
    <mergeCell ref="J644:J646"/>
    <mergeCell ref="K644:K646"/>
    <mergeCell ref="L644:L646"/>
    <mergeCell ref="M644:M646"/>
    <mergeCell ref="N644:N646"/>
    <mergeCell ref="N647:N648"/>
    <mergeCell ref="A651:B651"/>
    <mergeCell ref="N652:N653"/>
    <mergeCell ref="F655:F656"/>
    <mergeCell ref="G655:G656"/>
    <mergeCell ref="H655:H656"/>
    <mergeCell ref="I655:I656"/>
    <mergeCell ref="J655:J656"/>
    <mergeCell ref="K655:K656"/>
    <mergeCell ref="L655:L656"/>
    <mergeCell ref="M655:M656"/>
    <mergeCell ref="N655:N656"/>
    <mergeCell ref="A647:A648"/>
    <mergeCell ref="F647:F648"/>
    <mergeCell ref="G647:G648"/>
    <mergeCell ref="H647:H648"/>
    <mergeCell ref="I647:I648"/>
    <mergeCell ref="J647:J648"/>
    <mergeCell ref="K647:K648"/>
    <mergeCell ref="L647:L648"/>
    <mergeCell ref="M647:M648"/>
    <mergeCell ref="F657:F658"/>
    <mergeCell ref="G657:G658"/>
    <mergeCell ref="H657:H658"/>
    <mergeCell ref="I657:I658"/>
    <mergeCell ref="J657:J658"/>
    <mergeCell ref="K657:K658"/>
    <mergeCell ref="L657:L658"/>
    <mergeCell ref="M657:M658"/>
    <mergeCell ref="N657:N658"/>
    <mergeCell ref="A660:N660"/>
    <mergeCell ref="F666:F667"/>
    <mergeCell ref="G666:G667"/>
    <mergeCell ref="H666:H667"/>
    <mergeCell ref="I666:I667"/>
    <mergeCell ref="J666:J667"/>
    <mergeCell ref="K666:K667"/>
    <mergeCell ref="L666:L667"/>
    <mergeCell ref="M666:M667"/>
    <mergeCell ref="N666:N667"/>
    <mergeCell ref="F668:F672"/>
    <mergeCell ref="G668:G672"/>
    <mergeCell ref="H668:H672"/>
    <mergeCell ref="I668:I672"/>
    <mergeCell ref="J668:J672"/>
    <mergeCell ref="K668:K672"/>
    <mergeCell ref="L668:L672"/>
    <mergeCell ref="M668:M672"/>
    <mergeCell ref="N668:N672"/>
    <mergeCell ref="A674:N674"/>
    <mergeCell ref="F680:F681"/>
    <mergeCell ref="H680:H681"/>
    <mergeCell ref="I680:I681"/>
    <mergeCell ref="J680:J681"/>
    <mergeCell ref="K680:K681"/>
    <mergeCell ref="L680:L681"/>
    <mergeCell ref="M680:M681"/>
    <mergeCell ref="N680:N681"/>
    <mergeCell ref="F682:F683"/>
    <mergeCell ref="H682:H683"/>
    <mergeCell ref="I682:I683"/>
    <mergeCell ref="J682:J683"/>
    <mergeCell ref="K682:K683"/>
    <mergeCell ref="L682:L683"/>
    <mergeCell ref="M682:M683"/>
    <mergeCell ref="N682:N683"/>
    <mergeCell ref="F689:F690"/>
    <mergeCell ref="H689:H690"/>
    <mergeCell ref="I689:I690"/>
    <mergeCell ref="J689:J690"/>
    <mergeCell ref="K689:K690"/>
    <mergeCell ref="L689:L690"/>
    <mergeCell ref="M689:M690"/>
    <mergeCell ref="N689:N690"/>
    <mergeCell ref="F699:F700"/>
    <mergeCell ref="H699:H700"/>
    <mergeCell ref="I699:I700"/>
    <mergeCell ref="J699:J700"/>
    <mergeCell ref="K699:K700"/>
    <mergeCell ref="L699:L700"/>
    <mergeCell ref="M699:M700"/>
    <mergeCell ref="N699:N700"/>
    <mergeCell ref="A710:A713"/>
    <mergeCell ref="H710:H713"/>
    <mergeCell ref="I710:I713"/>
    <mergeCell ref="J710:J713"/>
    <mergeCell ref="K710:K713"/>
    <mergeCell ref="L710:L713"/>
    <mergeCell ref="M710:M713"/>
    <mergeCell ref="N710:N713"/>
    <mergeCell ref="F722:F723"/>
    <mergeCell ref="G722:G723"/>
    <mergeCell ref="H722:H723"/>
    <mergeCell ref="I722:I723"/>
    <mergeCell ref="J722:J723"/>
    <mergeCell ref="K722:K723"/>
    <mergeCell ref="L722:L723"/>
    <mergeCell ref="M722:M723"/>
    <mergeCell ref="N722:N723"/>
    <mergeCell ref="H724:H729"/>
    <mergeCell ref="I724:I729"/>
    <mergeCell ref="J724:J729"/>
    <mergeCell ref="K724:K729"/>
    <mergeCell ref="L724:L729"/>
    <mergeCell ref="M724:M729"/>
    <mergeCell ref="N724:N729"/>
    <mergeCell ref="F737:F741"/>
    <mergeCell ref="G737:G741"/>
    <mergeCell ref="H737:H741"/>
    <mergeCell ref="I737:I741"/>
    <mergeCell ref="J737:J741"/>
    <mergeCell ref="K737:K741"/>
    <mergeCell ref="L737:L741"/>
    <mergeCell ref="M737:M741"/>
    <mergeCell ref="N737:N741"/>
    <mergeCell ref="F742:F743"/>
    <mergeCell ref="G742:G743"/>
    <mergeCell ref="H742:H743"/>
    <mergeCell ref="I742:I743"/>
    <mergeCell ref="J742:J743"/>
    <mergeCell ref="K742:K743"/>
    <mergeCell ref="L742:L743"/>
    <mergeCell ref="M742:M743"/>
    <mergeCell ref="N742:N743"/>
    <mergeCell ref="F750:F751"/>
    <mergeCell ref="H750:H751"/>
    <mergeCell ref="I750:I751"/>
    <mergeCell ref="J750:J751"/>
    <mergeCell ref="K750:K751"/>
    <mergeCell ref="L750:L751"/>
    <mergeCell ref="M750:M751"/>
    <mergeCell ref="N750:N751"/>
    <mergeCell ref="F752:F753"/>
    <mergeCell ref="H752:H753"/>
    <mergeCell ref="I752:I753"/>
    <mergeCell ref="J752:J753"/>
    <mergeCell ref="K752:K753"/>
    <mergeCell ref="L752:L753"/>
    <mergeCell ref="M752:M753"/>
    <mergeCell ref="N752:N753"/>
    <mergeCell ref="F760:F763"/>
    <mergeCell ref="G760:G763"/>
    <mergeCell ref="H760:H763"/>
    <mergeCell ref="I760:I763"/>
    <mergeCell ref="J760:J763"/>
    <mergeCell ref="K760:K763"/>
    <mergeCell ref="L760:L763"/>
    <mergeCell ref="M760:M763"/>
    <mergeCell ref="N760:N763"/>
    <mergeCell ref="A764:A765"/>
    <mergeCell ref="F764:F765"/>
    <mergeCell ref="G764:G765"/>
    <mergeCell ref="H764:H765"/>
    <mergeCell ref="I764:I765"/>
    <mergeCell ref="N764:N765"/>
    <mergeCell ref="F770:F773"/>
    <mergeCell ref="H770:H773"/>
    <mergeCell ref="I770:I773"/>
    <mergeCell ref="J770:J773"/>
    <mergeCell ref="K770:K773"/>
    <mergeCell ref="L770:L773"/>
    <mergeCell ref="M770:M773"/>
    <mergeCell ref="N770:N773"/>
    <mergeCell ref="F780:F781"/>
    <mergeCell ref="H780:H781"/>
    <mergeCell ref="I780:I781"/>
    <mergeCell ref="J780:J781"/>
    <mergeCell ref="K780:K781"/>
    <mergeCell ref="L780:L781"/>
    <mergeCell ref="M780:M781"/>
    <mergeCell ref="N780:N781"/>
  </mergeCells>
  <pageMargins left="0.23622047244094491" right="0.23622047244094491" top="0.74803149606299213" bottom="0.74803149606299213" header="0.31496062992125984" footer="0.31496062992125984"/>
  <pageSetup paperSize="14" scale="80" fitToHeight="0" orientation="landscape" cellComments="atEnd" r:id="rId1"/>
  <headerFooter>
    <oddFooter>&amp;RPage &amp;P of &amp;N</oddFooter>
  </headerFooter>
  <rowBreaks count="12" manualBreakCount="12">
    <brk id="47" max="13" man="1"/>
    <brk id="56" max="13" man="1"/>
    <brk id="66" max="13" man="1"/>
    <brk id="92" max="13" man="1"/>
    <brk id="335" max="13" man="1"/>
    <brk id="356" max="13" man="1"/>
    <brk id="386" max="13" man="1"/>
    <brk id="395" max="13" man="1"/>
    <brk id="508" max="13" man="1"/>
    <brk id="512" max="13" man="1"/>
    <brk id="514" max="13" man="1"/>
    <brk id="516" max="1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2026-03-05T03:51:32Z</cp:lastPrinted>
  <dcterms:created xsi:type="dcterms:W3CDTF">2024-02-05T05:24:57Z</dcterms:created>
  <dcterms:modified xsi:type="dcterms:W3CDTF">2026-03-05T03:52:02Z</dcterms:modified>
</cp:coreProperties>
</file>